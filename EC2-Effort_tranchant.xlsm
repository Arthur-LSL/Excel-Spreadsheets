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age_2A\standardisation_artelia\Notice\effort_tranchant\"/>
    </mc:Choice>
  </mc:AlternateContent>
  <xr:revisionPtr revIDLastSave="2" documentId="13_ncr:1_{A7FA82BC-D32B-4E61-8E28-2F84FEE00E35}" xr6:coauthVersionLast="47" xr6:coauthVersionMax="47" xr10:uidLastSave="{B5BD9724-331A-4A74-8C2B-F842891CB766}"/>
  <bookViews>
    <workbookView xWindow="-108" yWindow="-108" windowWidth="23256" windowHeight="14016" firstSheet="3" activeTab="5" xr2:uid="{00000000-000D-0000-FFFF-FFFF00000000}"/>
  </bookViews>
  <sheets>
    <sheet name="Suivi des modifications" sheetId="8" r:id="rId1"/>
    <sheet name="Manuel d'utilisation" sheetId="3" r:id="rId2"/>
    <sheet name="Données" sheetId="1" r:id="rId3"/>
    <sheet name="Résultats" sheetId="7" r:id="rId4"/>
    <sheet name="Outils" sheetId="2" r:id="rId5"/>
    <sheet name="Calcul" sheetId="4" r:id="rId6"/>
  </sheets>
  <externalReferences>
    <externalReference r:id="rId7"/>
  </externalReferences>
  <definedNames>
    <definedName name="a_l">Données!$L$50</definedName>
    <definedName name="A_s1">Données!$E$51</definedName>
    <definedName name="A_s2">Données!$E$56</definedName>
    <definedName name="Ac">Outils!$D$13</definedName>
    <definedName name="alpha">Résultats!$E$15</definedName>
    <definedName name="alpha_r">Outils!$D$15</definedName>
    <definedName name="alphacc">Outils!$D$20</definedName>
    <definedName name="Asl">Données!$E$52</definedName>
    <definedName name="Asw">Résultats!$E$33</definedName>
    <definedName name="Aswrequis" localSheetId="3">Résultats!$E$25</definedName>
    <definedName name="av">Données!$E$19</definedName>
    <definedName name="beff">Outils!$D$10</definedName>
    <definedName name="beffdonné">Données!$E$32</definedName>
    <definedName name="beta">Outils!$D$5</definedName>
    <definedName name="BOOM">[1]Résultats!$E$31</definedName>
    <definedName name="bw">Données!$E$31</definedName>
    <definedName name="ChxChrgConcentrées">Données!$E$18</definedName>
    <definedName name="ChxClExpo">Outils!$W$1:$W$9</definedName>
    <definedName name="ChxClStrcturale">Outils!$X$1:$X$6</definedName>
    <definedName name="ChxCombiELU">Données!$E$13</definedName>
    <definedName name="Chxfck">Outils!#REF!</definedName>
    <definedName name="Chxfyk">Outils!$U$1:$U$2</definedName>
    <definedName name="ChxMthd">Outils!$Y$1:$Y$2</definedName>
    <definedName name="ChxPrédoChrgRéparties">Données!$E$20</definedName>
    <definedName name="ChxReductionV">Données!$E$22</definedName>
    <definedName name="Chxvmin">Données!$E$14</definedName>
    <definedName name="ClExposition">Données!$E$16</definedName>
    <definedName name="ClStructurale">Données!$E$15</definedName>
    <definedName name="cnom">Données!#REF!</definedName>
    <definedName name="CondPriseEnCpteChargConcentrée">Outils!$D$4</definedName>
    <definedName name="cotgalpha">Outils!$D$16</definedName>
    <definedName name="cotgtheta">Calcul!$D$23</definedName>
    <definedName name="cotgtheta_calc">Calcul!$D$18</definedName>
    <definedName name="cotgtheta_optimisé">Calcul!$D$19</definedName>
    <definedName name="CRdC">Calcul!$D$3</definedName>
    <definedName name="d" localSheetId="3">Données!$E$30</definedName>
    <definedName name="d">Données!$E$30</definedName>
    <definedName name="dcduradd">#REF!</definedName>
    <definedName name="dp">Outils!$D$14</definedName>
    <definedName name="expocmindur">Outils!$E$28</definedName>
    <definedName name="fcd">Outils!$D$22</definedName>
    <definedName name="fck">Données!$E$37</definedName>
    <definedName name="fywd">Outils!$D$26</definedName>
    <definedName name="fywk">Données!$E$39</definedName>
    <definedName name="gammac">Outils!$D$21</definedName>
    <definedName name="gammas">Outils!$D$25</definedName>
    <definedName name="h">Données!$E$29</definedName>
    <definedName name="hf">Outils!$D$11</definedName>
    <definedName name="hfdonné">Données!$E$33</definedName>
    <definedName name="invtheta0">Calcul!$H$35</definedName>
    <definedName name="invtheta0_0">Calcul!$M$36</definedName>
    <definedName name="invtheta0_i">Calcul!$D$34</definedName>
    <definedName name="invthetafin">Calcul!$K$40</definedName>
    <definedName name="invthetaGM">Calcul!$D$36</definedName>
    <definedName name="invthetapm">Calcul!$D$35</definedName>
    <definedName name="k" localSheetId="5">Calcul!$D$4</definedName>
    <definedName name="kun">Calcul!$D$6</definedName>
    <definedName name="Méthode">Résultats!$E$12</definedName>
    <definedName name="n">Résultats!$E$32</definedName>
    <definedName name="n_1">Données!$E$44</definedName>
    <definedName name="n_2">Données!$E$46</definedName>
    <definedName name="n_21">Données!$E$54</definedName>
    <definedName name="n_3">Données!$E$48</definedName>
    <definedName name="Nbr_lits">Données!$E$43</definedName>
    <definedName name="ncadres" localSheetId="3">Résultats!$E$29</definedName>
    <definedName name="NEd">Données!$E$25</definedName>
    <definedName name="népingles" localSheetId="3">Résultats!$E$31</definedName>
    <definedName name="nétriers" localSheetId="3">Résultats!$E$30</definedName>
    <definedName name="nu" localSheetId="5">Calcul!$D$12</definedName>
    <definedName name="nu_0">Calcul!$D$17</definedName>
    <definedName name="nu_1">Outils!$D$23</definedName>
    <definedName name="OuiNon">Outils!$T$1:$T$2</definedName>
    <definedName name="phi_1">Données!$E$45</definedName>
    <definedName name="phi_2">Données!$E$47</definedName>
    <definedName name="phi_21">Données!$E$55</definedName>
    <definedName name="phi_3">Données!$E$49</definedName>
    <definedName name="phieq">Données!$E$50</definedName>
    <definedName name="phimax">Outils!$D$17</definedName>
    <definedName name="phiw" localSheetId="3">Résultats!$E$28</definedName>
    <definedName name="PossibilitéCombiELU">Outils!$R$1:$R$3</definedName>
    <definedName name="PossibilitéSection">Outils!$S$1:$S$2</definedName>
    <definedName name="Possibilitésvmin">Outils!$Q$1:$Q$3</definedName>
    <definedName name="pp_u">Données!$E$24</definedName>
    <definedName name="rhol">Calcul!$D$5</definedName>
    <definedName name="rhowmin">Calcul!$M$35</definedName>
    <definedName name="s0">Résultats!$E$24</definedName>
    <definedName name="s0test" localSheetId="3">Résultats!$E$22</definedName>
    <definedName name="Section">Données!$E$28</definedName>
    <definedName name="sigmacp">Calcul!$D$7</definedName>
    <definedName name="slmax" localSheetId="3">Résultats!$E$23</definedName>
    <definedName name="stmax" localSheetId="3">Résultats!#REF!</definedName>
    <definedName name="theta">Calcul!$D$22</definedName>
    <definedName name="theta_donné">Résultats!$E$14</definedName>
    <definedName name="theta_optimisé">Calcul!$D$20</definedName>
    <definedName name="VEd">Données!$E$17</definedName>
    <definedName name="VEd0">Outils!$D$3</definedName>
    <definedName name="Ved0p">Outils!$D$6</definedName>
    <definedName name="VEddeGP_u">Données!$E$23</definedName>
    <definedName name="VEddepp_u">Outils!$D$7</definedName>
    <definedName name="VEdlim">Calcul!$D$11</definedName>
    <definedName name="vmin" localSheetId="5">Calcul!$D$9</definedName>
    <definedName name="VRdC">Calcul!$D$10</definedName>
    <definedName name="VRdC1">Calcul!$D$2</definedName>
    <definedName name="VRdC2">Calcul!$D$8</definedName>
    <definedName name="VRdmax">Calcul!$D$13</definedName>
    <definedName name="z">Outils!$D$12</definedName>
    <definedName name="_xlnm.Print_Area" localSheetId="2">Données!$B$5:$H$58</definedName>
    <definedName name="_xlnm.Print_Area" localSheetId="1">'Manuel d''utilisation'!$A$1:$K$52</definedName>
    <definedName name="_xlnm.Print_Area" localSheetId="3">Résultats!$B$4:$K$36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  <c r="D21" i="2" l="1"/>
  <c r="I35" i="4" l="1"/>
  <c r="D16" i="7" l="1"/>
  <c r="E56" i="1" l="1"/>
  <c r="D5" i="2" l="1"/>
  <c r="I36" i="4" l="1"/>
  <c r="M35" i="4"/>
  <c r="M31" i="4"/>
  <c r="D31" i="4"/>
  <c r="D26" i="4"/>
  <c r="D22" i="4"/>
  <c r="D23" i="4" s="1"/>
  <c r="D12" i="4"/>
  <c r="D4" i="4"/>
  <c r="D9" i="4" s="1"/>
  <c r="E28" i="2"/>
  <c r="D25" i="2"/>
  <c r="D26" i="2" s="1"/>
  <c r="D23" i="2" s="1"/>
  <c r="D22" i="2"/>
  <c r="D17" i="2"/>
  <c r="D14" i="2"/>
  <c r="D12" i="2"/>
  <c r="D11" i="2"/>
  <c r="D10" i="2"/>
  <c r="D3" i="2"/>
  <c r="D4" i="2"/>
  <c r="E51" i="1"/>
  <c r="D5" i="4" s="1"/>
  <c r="E50" i="1"/>
  <c r="B17" i="1"/>
  <c r="D6" i="2" l="1"/>
  <c r="D28" i="4"/>
  <c r="Q31" i="4"/>
  <c r="N31" i="4" s="1"/>
  <c r="D11" i="4"/>
  <c r="H26" i="4" s="1"/>
  <c r="D3" i="4"/>
  <c r="D13" i="2"/>
  <c r="D7" i="4" s="1"/>
  <c r="D8" i="4" s="1"/>
  <c r="D17" i="4"/>
  <c r="E26" i="4" l="1"/>
  <c r="I26" i="4" s="1"/>
  <c r="D2" i="4"/>
  <c r="D10" i="4" s="1"/>
  <c r="E16" i="7" s="1"/>
  <c r="D27" i="4"/>
  <c r="H16" i="7" l="1"/>
  <c r="E27" i="4"/>
  <c r="H27" i="4"/>
  <c r="H28" i="4"/>
  <c r="E28" i="4"/>
  <c r="I27" i="4" l="1"/>
  <c r="B19" i="7" l="1"/>
  <c r="D14" i="4"/>
  <c r="D15" i="2"/>
  <c r="D16" i="2" l="1"/>
  <c r="D36" i="4"/>
  <c r="K21" i="7" s="1"/>
  <c r="M36" i="4"/>
  <c r="K40" i="4" s="1"/>
  <c r="D13" i="4" l="1"/>
  <c r="D34" i="4"/>
  <c r="E23" i="7"/>
  <c r="E24" i="7" s="1"/>
  <c r="D35" i="4"/>
  <c r="C21" i="7" s="1"/>
  <c r="F21" i="7"/>
  <c r="D18" i="4"/>
  <c r="D19" i="4" s="1"/>
  <c r="D20" i="4" s="1"/>
  <c r="E13" i="7" s="1"/>
  <c r="I21" i="7" l="1"/>
  <c r="E25" i="7"/>
  <c r="D34" i="7" s="1"/>
  <c r="E32" i="7"/>
  <c r="E33" i="7" s="1"/>
  <c r="H34" i="7" s="1"/>
  <c r="H31" i="4"/>
  <c r="H17" i="7"/>
  <c r="E17" i="7"/>
  <c r="E31" i="4"/>
  <c r="C32" i="4" s="1"/>
  <c r="L32" i="4"/>
  <c r="B18" i="7" l="1"/>
  <c r="D21" i="7"/>
  <c r="E3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THEBAULT Jerome</author>
  </authors>
  <commentList>
    <comment ref="D1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THEBAULT Jerome:</t>
        </r>
        <r>
          <rPr>
            <sz val="9"/>
            <color indexed="81"/>
            <rFont val="Tahoma"/>
            <family val="2"/>
          </rPr>
          <t xml:space="preserve">
Effet de redistribution transversale (obtenu par toutes les dispositions qui contribuent à un fonctionnement bidimensionnel d’une dalle). Exemples : 
- Conditions d’appuis permettant d’envisager un fonctionnement en plaque et non en poutre (dalle reposant sur 3 ou 4 côtés)
- Dalle fonctionnant principalement dans une seule direction, avec une largeur suffisante en cas de défauts localisés  
        o Hypothèses pour les deux précédents cas : existence d’armatures de répartition ou de deuxième lit (correspondant à au moins 1/5è des armatures pples ou de 1er lit)
- On peut envisager des fonctionnements de type voûte de décharge funiculaire ou du type équilibre de membrane (ex : hauteur/portée&gt;1 /20
        o Hypothèse pour ce dernier cas : les armatures de flexion dans la zone de                         diffusion ou à son voisinage sont suffisamment ancrées pour constituer le tirant de la voûte de décharge funiculaire qui va se former ou des efforts normaux de membrane à la périphérie
- Existence d’un blocage naturel et latéral de la dalle par son environnement (dalle adjacente, poutre de bordure, effet de culée…) =&gt; dans la plupart des bâtiments 
- Diffusion des charges localisées à proximité d’une zone d’appui 
</t>
        </r>
      </text>
    </comment>
  </commentList>
</comments>
</file>

<file path=xl/sharedStrings.xml><?xml version="1.0" encoding="utf-8"?>
<sst xmlns="http://schemas.openxmlformats.org/spreadsheetml/2006/main" count="388" uniqueCount="296">
  <si>
    <t>SUIVI DES MODIFICATIONS</t>
  </si>
  <si>
    <t>Date</t>
  </si>
  <si>
    <t>Auteur</t>
  </si>
  <si>
    <t>Description</t>
  </si>
  <si>
    <t>Jérôme THEBAULT (Stagiaire)</t>
  </si>
  <si>
    <t>Création de la feuille</t>
  </si>
  <si>
    <t>Arthur Loysel (Stagiaire)</t>
  </si>
  <si>
    <t>Vérification de la feuille, modification de certaines formules (Ved0, Ved0p, etc, pour prendre en compte les efforts tranchants réduits)</t>
  </si>
  <si>
    <t>Manuel d'utilisation</t>
  </si>
  <si>
    <t>Bibliographie</t>
  </si>
  <si>
    <t>Ce fichier contient des feuilles de calculs qui sont présentées comme suit:</t>
  </si>
  <si>
    <t>[1]</t>
  </si>
  <si>
    <t>Pratique de l'Eurocode 2, J. ROUX</t>
  </si>
  <si>
    <t>Onglet 1</t>
  </si>
  <si>
    <t>Suivi des modifications</t>
  </si>
  <si>
    <t>[2]</t>
  </si>
  <si>
    <t>Calcul des structures en béton, J.M.Paillé</t>
  </si>
  <si>
    <t>Onglet 2</t>
  </si>
  <si>
    <t>[3]</t>
  </si>
  <si>
    <t>Maîtrise de l'Eurocode 2, J. ROUX</t>
  </si>
  <si>
    <t>Onglet 3</t>
  </si>
  <si>
    <t>Données</t>
  </si>
  <si>
    <t>[4]</t>
  </si>
  <si>
    <t>Aide-mémoire des Ouvrages en Béton Armé (4e édition) Pierre Guillemont</t>
  </si>
  <si>
    <t>Onglet 4</t>
  </si>
  <si>
    <t>Résultats</t>
  </si>
  <si>
    <t>EC2</t>
  </si>
  <si>
    <t>NF EN 1992-1-1 Octobre 2005</t>
  </si>
  <si>
    <t>Onglet 5 (masqué)</t>
  </si>
  <si>
    <t>Outils</t>
  </si>
  <si>
    <t>EC2'</t>
  </si>
  <si>
    <t>NF EN 1992-1-1/NA 24 Mars 2016</t>
  </si>
  <si>
    <t>Onglet 6 (masqué)</t>
  </si>
  <si>
    <t>Calcul</t>
  </si>
  <si>
    <t>Mode d'utilisation</t>
  </si>
  <si>
    <t>Cette feuille sert à calculer la section de ferraillage transversale nécessaire à une poutre (rectangulaire ou en Té), suivant la méthode standard ou la méthode d'inclinaison variable des bielles de béton.</t>
  </si>
  <si>
    <t>Elle prend en compte les charges ponctuelles et les phénomènes de transmission directe des charges aux appuis.</t>
  </si>
  <si>
    <t>Légende</t>
  </si>
  <si>
    <t>Cellule à ne pas toucher</t>
  </si>
  <si>
    <t>A donner</t>
  </si>
  <si>
    <t>Valeur recommandée par l'EC2</t>
  </si>
  <si>
    <t>Valeur recommandée par l'annexe nationale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</si>
  <si>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Cette feuille se lit et s'utilise de haut en bas.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Liste déroulante de la forme ci-contre : 
Si le choix que vous voulez est déjà sélectionné, il faut néanmoins changer de choix puis remettre le choix souhaité, afin d'activer la Macro. (Exemple : Si vous voulez traiter une poutre à section rectangulaire et que "Rectangulaire" est déjà choisi, il faut resélectionner "En té" puis finalement "Rectangulaire".)
</t>
    </r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 xml:space="preserve">Parfois, le calcul des valeurs après changement d'une cellule nécessite de sauvegarder le fichier (raccourci : Ctrl + s)
</t>
    </r>
  </si>
  <si>
    <t>Limites d'utilisation de la feuille de calcul pour l'Effort Tranchant à l'Eurocode 2</t>
  </si>
  <si>
    <t>- 400MPa≤fck≤600MPa &amp; 12MPa≤fck≤90MPa
- Pas d’armature de précontrainte
- L’annexe nationale française NF-EN 1992-1-1/NA prédomine sur l’EC2
- Les feuilles ne prennent pas en compte les dispositions particulières liées aux ponts ou aux réservoirs
- Poutre rectangulaire ou en té
-  Si la traction est prépondérante, se référer à l'article 6.2.3(3) du Guide d'application des normes NF EN 1992  (Consigne : adopter la méthode du BAEL)</t>
  </si>
  <si>
    <t>EFFORT TRANCHANT</t>
  </si>
  <si>
    <t>COMMENTAIRES</t>
  </si>
  <si>
    <t>Remplir les cellules:</t>
  </si>
  <si>
    <t>Les cellules en bleu correspondent aux résultats</t>
  </si>
  <si>
    <t>Projet :</t>
  </si>
  <si>
    <t>L15</t>
  </si>
  <si>
    <t>Situation de projet</t>
  </si>
  <si>
    <t>Combinaisons d'actions à l'ELU</t>
  </si>
  <si>
    <t>Permanente / Transitoire</t>
  </si>
  <si>
    <t>Ouvrage</t>
  </si>
  <si>
    <r>
      <t xml:space="preserve">Effet de redistribution transversale explicité dans le FD P18-717 (2)  §6.2.1 (4), lire le </t>
    </r>
    <r>
      <rPr>
        <b/>
        <i/>
        <sz val="8"/>
        <color theme="3" tint="-0.249977111117893"/>
        <rFont val="Calibri"/>
        <family val="2"/>
        <scheme val="minor"/>
      </rPr>
      <t>commentaire</t>
    </r>
    <r>
      <rPr>
        <i/>
        <sz val="8"/>
        <color theme="3" tint="-0.249977111117893"/>
        <rFont val="Calibri"/>
        <family val="2"/>
        <scheme val="minor"/>
      </rPr>
      <t xml:space="preserve"> pour quelques précisions</t>
    </r>
  </si>
  <si>
    <t>Poutres/dalles autres que celles ci-avant</t>
  </si>
  <si>
    <t>Classe structurale</t>
  </si>
  <si>
    <t>S4</t>
  </si>
  <si>
    <t>Classe d'exposition</t>
  </si>
  <si>
    <t>XC4</t>
  </si>
  <si>
    <t>Effort tranchant de 
calcul à l'ELU</t>
  </si>
  <si>
    <t>kN</t>
  </si>
  <si>
    <t>Charges concentrées ?</t>
  </si>
  <si>
    <r>
      <t>a</t>
    </r>
    <r>
      <rPr>
        <vertAlign val="subscript"/>
        <sz val="11"/>
        <color theme="3" tint="-0.249977111117893"/>
        <rFont val="Calibri"/>
        <family val="2"/>
        <scheme val="minor"/>
      </rPr>
      <t>V</t>
    </r>
  </si>
  <si>
    <t>Abscisse de la charge ponctuelle par rapport au nu de l'appui</t>
  </si>
  <si>
    <t>cm</t>
  </si>
  <si>
    <t>Prédominance des 
charges réparties ?</t>
  </si>
  <si>
    <t>Oui</t>
  </si>
  <si>
    <t xml:space="preserve">Calcul avec les efforts tranchants réduits </t>
  </si>
  <si>
    <r>
      <t>Attention : la réduction des efforts tranchants nécessite de connaître les parts d'efforts tranchants dûes
 respectivement aux charges réparties (V</t>
    </r>
    <r>
      <rPr>
        <b/>
        <vertAlign val="subscript"/>
        <sz val="8"/>
        <color theme="3" tint="-0.249977111117893"/>
        <rFont val="Calibri"/>
        <family val="2"/>
        <scheme val="minor"/>
      </rPr>
      <t>ed</t>
    </r>
    <r>
      <rPr>
        <b/>
        <sz val="8"/>
        <color theme="3" tint="-0.249977111117893"/>
        <rFont val="Calibri"/>
        <family val="2"/>
        <scheme val="minor"/>
      </rPr>
      <t>(p</t>
    </r>
    <r>
      <rPr>
        <b/>
        <vertAlign val="subscript"/>
        <sz val="8"/>
        <color theme="3" tint="-0.249977111117893"/>
        <rFont val="Calibri"/>
        <family val="2"/>
        <scheme val="minor"/>
      </rPr>
      <t>u</t>
    </r>
    <r>
      <rPr>
        <b/>
        <sz val="8"/>
        <color theme="3" tint="-0.249977111117893"/>
        <rFont val="Calibri"/>
        <family val="2"/>
        <scheme val="minor"/>
      </rPr>
      <t>)) et concentrées (V</t>
    </r>
    <r>
      <rPr>
        <b/>
        <vertAlign val="subscript"/>
        <sz val="8"/>
        <color theme="3" tint="-0.249977111117893"/>
        <rFont val="Calibri"/>
        <family val="2"/>
        <scheme val="minor"/>
      </rPr>
      <t>ed</t>
    </r>
    <r>
      <rPr>
        <b/>
        <sz val="8"/>
        <color theme="3" tint="-0.249977111117893"/>
        <rFont val="Calibri"/>
        <family val="2"/>
        <scheme val="minor"/>
      </rPr>
      <t>(P</t>
    </r>
    <r>
      <rPr>
        <b/>
        <vertAlign val="subscript"/>
        <sz val="8"/>
        <color theme="3" tint="-0.249977111117893"/>
        <rFont val="Calibri"/>
        <family val="2"/>
        <scheme val="minor"/>
      </rPr>
      <t>u</t>
    </r>
    <r>
      <rPr>
        <b/>
        <sz val="8"/>
        <color theme="3" tint="-0.249977111117893"/>
        <rFont val="Calibri"/>
        <family val="2"/>
        <scheme val="minor"/>
      </rPr>
      <t>)). De plus, il faut vérifier les hypothèses suivantes : charges appliquées à la face supérieure de l'élement &amp; armatures longitudinales totalement ancrées au-delà du nu de l'appui</t>
    </r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</si>
  <si>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Ed</t>
    </r>
    <r>
      <rPr>
        <sz val="11"/>
        <color theme="3" tint="-0.249977111117893"/>
        <rFont val="Calibri"/>
        <family val="2"/>
        <scheme val="minor"/>
      </rPr>
      <t>(P</t>
    </r>
    <r>
      <rPr>
        <vertAlign val="subscript"/>
        <sz val="11"/>
        <color theme="3" tint="-0.249977111117893"/>
        <rFont val="Calibri"/>
        <family val="2"/>
        <scheme val="minor"/>
      </rPr>
      <t>u</t>
    </r>
    <r>
      <rPr>
        <sz val="11"/>
        <color theme="3" tint="-0.249977111117893"/>
        <rFont val="Calibri"/>
        <family val="2"/>
        <scheme val="minor"/>
      </rPr>
      <t>)</t>
    </r>
  </si>
  <si>
    <t>Effort tranchant dû à 
la charge concentrée</t>
  </si>
  <si>
    <r>
      <t>p</t>
    </r>
    <r>
      <rPr>
        <vertAlign val="subscript"/>
        <sz val="11"/>
        <color theme="3" tint="-0.249977111117893"/>
        <rFont val="Calibri"/>
        <family val="2"/>
        <scheme val="minor"/>
      </rPr>
      <t>u</t>
    </r>
  </si>
  <si>
    <t>Charge répartie</t>
  </si>
  <si>
    <t>kN/m</t>
  </si>
  <si>
    <r>
      <t>N</t>
    </r>
    <r>
      <rPr>
        <vertAlign val="subscript"/>
        <sz val="11"/>
        <color theme="3" tint="-0.249977111117893"/>
        <rFont val="Calibri"/>
        <family val="2"/>
        <scheme val="minor"/>
      </rPr>
      <t>Ed</t>
    </r>
  </si>
  <si>
    <t>Effort normal dans la section (charges, 
précontrainte) à l'ELU (&gt;0 : compression)</t>
  </si>
  <si>
    <t>Dimensions</t>
  </si>
  <si>
    <t>Section</t>
  </si>
  <si>
    <t>h</t>
  </si>
  <si>
    <t>hauteur</t>
  </si>
  <si>
    <t xml:space="preserve">d </t>
  </si>
  <si>
    <t>hauteur utile des 
aciers tendus</t>
  </si>
  <si>
    <r>
      <t>b</t>
    </r>
    <r>
      <rPr>
        <vertAlign val="subscript"/>
        <sz val="11"/>
        <color theme="3" tint="-0.249977111117893"/>
        <rFont val="Calibri"/>
        <family val="2"/>
        <scheme val="minor"/>
      </rPr>
      <t>w</t>
    </r>
  </si>
  <si>
    <t>largeur</t>
  </si>
  <si>
    <r>
      <t>b</t>
    </r>
    <r>
      <rPr>
        <vertAlign val="subscript"/>
        <sz val="11"/>
        <color theme="3" tint="-0.249977111117893"/>
        <rFont val="Calibri"/>
        <family val="2"/>
        <scheme val="minor"/>
      </rPr>
      <t>eff</t>
    </r>
  </si>
  <si>
    <t>largeur de la table 
de compression</t>
  </si>
  <si>
    <r>
      <t>h</t>
    </r>
    <r>
      <rPr>
        <vertAlign val="subscript"/>
        <sz val="11"/>
        <color theme="3" tint="-0.249977111117893"/>
        <rFont val="Calibri"/>
        <family val="2"/>
        <scheme val="minor"/>
      </rPr>
      <t>f</t>
    </r>
  </si>
  <si>
    <t>hauteur de la table 
de compression</t>
  </si>
  <si>
    <t>Matériaux</t>
  </si>
  <si>
    <t>Béton</t>
  </si>
  <si>
    <r>
      <t>f</t>
    </r>
    <r>
      <rPr>
        <vertAlign val="subscript"/>
        <sz val="11"/>
        <color theme="3" tint="-0.249977111117893"/>
        <rFont val="Calibri"/>
        <family val="2"/>
        <scheme val="minor"/>
      </rPr>
      <t>ck</t>
    </r>
  </si>
  <si>
    <t>résistance à la compression 
du béton</t>
  </si>
  <si>
    <t>Mpa</t>
  </si>
  <si>
    <t>Acier</t>
  </si>
  <si>
    <r>
      <t>f</t>
    </r>
    <r>
      <rPr>
        <vertAlign val="subscript"/>
        <sz val="11"/>
        <color theme="3" tint="-0.249977111117893"/>
        <rFont val="Calibri"/>
        <family val="2"/>
        <scheme val="minor"/>
      </rPr>
      <t>ywk</t>
    </r>
  </si>
  <si>
    <t>limite d'élasticité 
des aciers</t>
  </si>
  <si>
    <t>MPa</t>
  </si>
  <si>
    <t>Section d'armatures longitudinales choisie</t>
  </si>
  <si>
    <t>Armatures tendues</t>
  </si>
  <si>
    <t>Nombre de lits choisi</t>
  </si>
  <si>
    <r>
      <t>n</t>
    </r>
    <r>
      <rPr>
        <vertAlign val="subscript"/>
        <sz val="11"/>
        <color theme="3" tint="-0.249977111117893"/>
        <rFont val="Calibri"/>
        <family val="2"/>
        <scheme val="minor"/>
      </rPr>
      <t>1</t>
    </r>
  </si>
  <si>
    <r>
      <t>Lit 1, composé de n</t>
    </r>
    <r>
      <rPr>
        <i/>
        <vertAlign val="subscript"/>
        <sz val="8"/>
        <color theme="3" tint="-0.249977111117893"/>
        <rFont val="Calibri"/>
        <family val="2"/>
        <scheme val="minor"/>
      </rPr>
      <t xml:space="preserve">1 </t>
    </r>
    <r>
      <rPr>
        <i/>
        <sz val="8"/>
        <color theme="3" tint="-0.249977111117893"/>
        <rFont val="Calibri"/>
        <family val="2"/>
        <scheme val="minor"/>
      </rPr>
      <t>armatures
 de diamètre φ</t>
    </r>
    <r>
      <rPr>
        <i/>
        <vertAlign val="subscript"/>
        <sz val="8"/>
        <color theme="3" tint="-0.249977111117893"/>
        <rFont val="Calibri"/>
        <family val="2"/>
        <scheme val="minor"/>
      </rPr>
      <t>1</t>
    </r>
  </si>
  <si>
    <r>
      <t>φ</t>
    </r>
    <r>
      <rPr>
        <vertAlign val="subscript"/>
        <sz val="11"/>
        <color theme="3" tint="-0.249977111117893"/>
        <rFont val="Calibri"/>
        <family val="2"/>
      </rPr>
      <t>1</t>
    </r>
  </si>
  <si>
    <t>mm</t>
  </si>
  <si>
    <r>
      <t>n</t>
    </r>
    <r>
      <rPr>
        <vertAlign val="subscript"/>
        <sz val="11"/>
        <color theme="3" tint="-0.249977111117893"/>
        <rFont val="Calibri"/>
        <family val="2"/>
        <scheme val="minor"/>
      </rPr>
      <t>2</t>
    </r>
  </si>
  <si>
    <r>
      <t>Lit 2, composé de n</t>
    </r>
    <r>
      <rPr>
        <i/>
        <vertAlign val="subscript"/>
        <sz val="8"/>
        <color theme="3" tint="-0.249977111117893"/>
        <rFont val="Calibri"/>
        <family val="2"/>
        <scheme val="minor"/>
      </rPr>
      <t>2</t>
    </r>
    <r>
      <rPr>
        <i/>
        <sz val="8"/>
        <color theme="3" tint="-0.249977111117893"/>
        <rFont val="Calibri"/>
        <family val="2"/>
        <scheme val="minor"/>
      </rPr>
      <t xml:space="preserve"> armatures
 de diamètre φ</t>
    </r>
    <r>
      <rPr>
        <i/>
        <vertAlign val="subscript"/>
        <sz val="8"/>
        <color theme="3" tint="-0.249977111117893"/>
        <rFont val="Calibri"/>
        <family val="2"/>
        <scheme val="minor"/>
      </rPr>
      <t>2</t>
    </r>
  </si>
  <si>
    <r>
      <t>φ</t>
    </r>
    <r>
      <rPr>
        <vertAlign val="subscript"/>
        <sz val="11"/>
        <color theme="3" tint="-0.249977111117893"/>
        <rFont val="Calibri"/>
        <family val="2"/>
      </rPr>
      <t>2</t>
    </r>
  </si>
  <si>
    <r>
      <t>n</t>
    </r>
    <r>
      <rPr>
        <vertAlign val="subscript"/>
        <sz val="11"/>
        <color theme="3" tint="-0.249977111117893"/>
        <rFont val="Calibri"/>
        <family val="2"/>
        <scheme val="minor"/>
      </rPr>
      <t>3</t>
    </r>
  </si>
  <si>
    <r>
      <t>Lit 3, composé de n</t>
    </r>
    <r>
      <rPr>
        <i/>
        <vertAlign val="subscript"/>
        <sz val="8"/>
        <color theme="3" tint="-0.249977111117893"/>
        <rFont val="Calibri"/>
        <family val="2"/>
        <scheme val="minor"/>
      </rPr>
      <t xml:space="preserve">3 </t>
    </r>
    <r>
      <rPr>
        <i/>
        <sz val="8"/>
        <color theme="3" tint="-0.249977111117893"/>
        <rFont val="Calibri"/>
        <family val="2"/>
        <scheme val="minor"/>
      </rPr>
      <t>armatures
 de diamètre φ</t>
    </r>
    <r>
      <rPr>
        <i/>
        <vertAlign val="subscript"/>
        <sz val="8"/>
        <color theme="3" tint="-0.249977111117893"/>
        <rFont val="Calibri"/>
        <family val="2"/>
        <scheme val="minor"/>
      </rPr>
      <t>3</t>
    </r>
  </si>
  <si>
    <r>
      <t>φ</t>
    </r>
    <r>
      <rPr>
        <vertAlign val="subscript"/>
        <sz val="11"/>
        <color theme="3" tint="-0.249977111117893"/>
        <rFont val="Calibri"/>
        <family val="2"/>
      </rPr>
      <t>3</t>
    </r>
  </si>
  <si>
    <r>
      <t>φ</t>
    </r>
    <r>
      <rPr>
        <b/>
        <vertAlign val="subscript"/>
        <sz val="11"/>
        <color theme="3" tint="-0.249977111117893"/>
        <rFont val="Calibri"/>
        <family val="2"/>
      </rPr>
      <t>eq</t>
    </r>
  </si>
  <si>
    <t>Diamètre équivalent EC2 §7.3.4. (3) (7.12)</t>
  </si>
  <si>
    <r>
      <t>Explication de A</t>
    </r>
    <r>
      <rPr>
        <vertAlign val="subscript"/>
        <sz val="11"/>
        <color theme="3" tint="-0.249977111117893"/>
        <rFont val="Calibri"/>
        <family val="2"/>
        <scheme val="minor"/>
      </rPr>
      <t xml:space="preserve">sl </t>
    </r>
    <r>
      <rPr>
        <sz val="11"/>
        <color theme="3" tint="-0.249977111117893"/>
        <rFont val="Calibri"/>
        <family val="2"/>
        <scheme val="minor"/>
      </rPr>
      <t>- Figure 6.3</t>
    </r>
  </si>
  <si>
    <r>
      <t>A</t>
    </r>
    <r>
      <rPr>
        <b/>
        <vertAlign val="subscript"/>
        <sz val="11"/>
        <color theme="3" tint="-0.249977111117893"/>
        <rFont val="Calibri"/>
        <family val="2"/>
        <scheme val="minor"/>
      </rPr>
      <t>s1</t>
    </r>
  </si>
  <si>
    <t>Section totale d'armatures 
tendues choisie</t>
  </si>
  <si>
    <r>
      <t>cm</t>
    </r>
    <r>
      <rPr>
        <b/>
        <vertAlign val="superscript"/>
        <sz val="11"/>
        <color theme="3" tint="-0.249977111117893"/>
        <rFont val="Calibri"/>
        <family val="2"/>
        <scheme val="minor"/>
      </rPr>
      <t>2</t>
    </r>
  </si>
  <si>
    <r>
      <t>A</t>
    </r>
    <r>
      <rPr>
        <vertAlign val="subscript"/>
        <sz val="11"/>
        <color theme="3" tint="-0.249977111117893"/>
        <rFont val="Calibri"/>
        <family val="2"/>
        <scheme val="minor"/>
      </rPr>
      <t>sl</t>
    </r>
  </si>
  <si>
    <r>
      <t>Aire de la section des armatures tendues, 
prolongées sur une longueur ≥(l</t>
    </r>
    <r>
      <rPr>
        <i/>
        <vertAlign val="subscript"/>
        <sz val="8"/>
        <color theme="3" tint="-0.249977111117893"/>
        <rFont val="Calibri"/>
        <family val="2"/>
        <scheme val="minor"/>
      </rPr>
      <t>bd</t>
    </r>
    <r>
      <rPr>
        <i/>
        <sz val="8"/>
        <color theme="3" tint="-0.249977111117893"/>
        <rFont val="Calibri"/>
        <family val="2"/>
        <scheme val="minor"/>
      </rPr>
      <t>+d) au-delà de la section considérée</t>
    </r>
  </si>
  <si>
    <r>
      <t>cm</t>
    </r>
    <r>
      <rPr>
        <vertAlign val="superscript"/>
        <sz val="11"/>
        <color theme="3" tint="-0.249977111117893"/>
        <rFont val="Calibri"/>
        <family val="2"/>
        <scheme val="minor"/>
      </rPr>
      <t>2</t>
    </r>
  </si>
  <si>
    <r>
      <t xml:space="preserve">Se référer à l'EC2, </t>
    </r>
    <r>
      <rPr>
        <sz val="8"/>
        <color theme="3" tint="-0.249977111117893"/>
        <rFont val="Calibri"/>
        <family val="2"/>
      </rPr>
      <t>§6.2.2.1.</t>
    </r>
  </si>
  <si>
    <t>Armatures comprimées</t>
  </si>
  <si>
    <r>
      <t>n</t>
    </r>
    <r>
      <rPr>
        <vertAlign val="subscript"/>
        <sz val="11"/>
        <color theme="3" tint="-0.249977111117893"/>
        <rFont val="Calibri"/>
        <family val="2"/>
        <scheme val="minor"/>
      </rPr>
      <t>2,1</t>
    </r>
  </si>
  <si>
    <r>
      <t>Lit des aciers comprimés, composé de n</t>
    </r>
    <r>
      <rPr>
        <i/>
        <vertAlign val="subscript"/>
        <sz val="8"/>
        <color theme="3" tint="-0.249977111117893"/>
        <rFont val="Calibri"/>
        <family val="2"/>
        <scheme val="minor"/>
      </rPr>
      <t>2,1</t>
    </r>
    <r>
      <rPr>
        <i/>
        <sz val="8"/>
        <color theme="3" tint="-0.249977111117893"/>
        <rFont val="Calibri"/>
        <family val="2"/>
        <scheme val="minor"/>
      </rPr>
      <t xml:space="preserve"> armatures de diamètre φ</t>
    </r>
    <r>
      <rPr>
        <i/>
        <vertAlign val="subscript"/>
        <sz val="8"/>
        <color theme="3" tint="-0.249977111117893"/>
        <rFont val="Calibri"/>
        <family val="2"/>
        <scheme val="minor"/>
      </rPr>
      <t>2,1</t>
    </r>
  </si>
  <si>
    <r>
      <t>La présence d'aciers comprimés peut diminuer la valeur de s</t>
    </r>
    <r>
      <rPr>
        <vertAlign val="subscript"/>
        <sz val="9"/>
        <color rgb="FFFF0000"/>
        <rFont val="Calibri"/>
        <family val="2"/>
        <scheme val="minor"/>
      </rPr>
      <t>l,max</t>
    </r>
    <r>
      <rPr>
        <sz val="9"/>
        <color rgb="FFFF0000"/>
        <rFont val="Calibri"/>
        <family val="2"/>
        <scheme val="minor"/>
      </rPr>
      <t>, espacement longitudinal maximal</t>
    </r>
  </si>
  <si>
    <r>
      <t>φ</t>
    </r>
    <r>
      <rPr>
        <vertAlign val="subscript"/>
        <sz val="11"/>
        <color theme="3" tint="-0.249977111117893"/>
        <rFont val="Calibri"/>
        <family val="2"/>
      </rPr>
      <t>2,1</t>
    </r>
  </si>
  <si>
    <r>
      <t>A</t>
    </r>
    <r>
      <rPr>
        <b/>
        <vertAlign val="subscript"/>
        <sz val="11"/>
        <color theme="3" tint="-0.249977111117893"/>
        <rFont val="Calibri"/>
        <family val="2"/>
        <scheme val="minor"/>
      </rPr>
      <t>s2</t>
    </r>
  </si>
  <si>
    <t>Section totale 
d'armatures comprimées</t>
  </si>
  <si>
    <t>Armatures d'âme</t>
  </si>
  <si>
    <t xml:space="preserve">Méthode </t>
  </si>
  <si>
    <r>
      <t xml:space="preserve">Consulter le paragraphe [1] Chap.8 </t>
    </r>
    <r>
      <rPr>
        <sz val="8"/>
        <color theme="3" tint="-0.249977111117893"/>
        <rFont val="Calibri"/>
        <family val="2"/>
      </rPr>
      <t>§4.4.6., découlant de l'EC2, §6.2.3 (7) et §9.2.1.3 (2)</t>
    </r>
  </si>
  <si>
    <r>
      <rPr>
        <b/>
        <sz val="8"/>
        <color theme="3" tint="-0.249977111117893"/>
        <rFont val="Calibri"/>
        <family val="2"/>
        <scheme val="minor"/>
      </rPr>
      <t>Mise en garde :</t>
    </r>
    <r>
      <rPr>
        <sz val="8"/>
        <color theme="3" tint="-0.249977111117893"/>
        <rFont val="Calibri"/>
        <family val="2"/>
        <scheme val="minor"/>
      </rPr>
      <t xml:space="preserve"> la méthode d'inclinaison variable des bielles fait économiser, à première vue, des aciers de cadres ; cependant, il ne faut pas oublier que la diminution de </t>
    </r>
    <r>
      <rPr>
        <sz val="8"/>
        <color theme="3" tint="-0.249977111117893"/>
        <rFont val="Calibri"/>
        <family val="2"/>
      </rPr>
      <t>θ entraîne une augmentation des armatures longitudinales et d'ancrage : un bilan comparatif et une prise en compte de ces conséquences sont conseillés.</t>
    </r>
  </si>
  <si>
    <r>
      <t>θ</t>
    </r>
    <r>
      <rPr>
        <vertAlign val="subscript"/>
        <sz val="11"/>
        <color theme="3" tint="-0.249977111117893"/>
        <rFont val="Calibri"/>
        <family val="2"/>
        <scheme val="minor"/>
      </rPr>
      <t>optimisé</t>
    </r>
  </si>
  <si>
    <t>°</t>
  </si>
  <si>
    <r>
      <t>θ</t>
    </r>
    <r>
      <rPr>
        <vertAlign val="subscript"/>
        <sz val="11"/>
        <color theme="3" tint="-0.249977111117893"/>
        <rFont val="Calibri"/>
        <family val="2"/>
        <scheme val="minor"/>
      </rPr>
      <t>choisi</t>
    </r>
  </si>
  <si>
    <r>
      <t>21,8°&lt;</t>
    </r>
    <r>
      <rPr>
        <i/>
        <sz val="8"/>
        <color theme="3" tint="-0.249977111117893"/>
        <rFont val="Calibri"/>
        <family val="2"/>
      </rPr>
      <t>θ</t>
    </r>
    <r>
      <rPr>
        <i/>
        <sz val="8"/>
        <color theme="3" tint="-0.249977111117893"/>
        <rFont val="Calibri"/>
        <family val="2"/>
        <scheme val="minor"/>
      </rPr>
      <t>&lt;45°, inclinaison des bielles de compression 
du béton par rapport à la ligne moyenne</t>
    </r>
  </si>
  <si>
    <t>α</t>
  </si>
  <si>
    <t>inclinaison des armatures d'âme 
par rapport à la ligne moyenne</t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</si>
  <si>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Ed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</si>
  <si>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RdC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</si>
  <si>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rdmax</t>
    </r>
  </si>
  <si>
    <r>
      <t>1/θ</t>
    </r>
    <r>
      <rPr>
        <vertAlign val="subscript"/>
        <sz val="11"/>
        <color theme="3" tint="-0.249977111117893"/>
        <rFont val="Calibri"/>
        <family val="2"/>
        <scheme val="minor"/>
      </rPr>
      <t>m</t>
    </r>
    <r>
      <rPr>
        <sz val="11"/>
        <color theme="3" tint="-0.249977111117893"/>
        <rFont val="Calibri"/>
        <family val="2"/>
        <scheme val="minor"/>
      </rPr>
      <t>= [A</t>
    </r>
    <r>
      <rPr>
        <vertAlign val="subscript"/>
        <sz val="11"/>
        <color theme="3" tint="-0.249977111117893"/>
        <rFont val="Calibri"/>
        <family val="2"/>
        <scheme val="minor"/>
      </rPr>
      <t>sw</t>
    </r>
    <r>
      <rPr>
        <sz val="11"/>
        <color theme="3" tint="-0.249977111117893"/>
        <rFont val="Calibri"/>
        <family val="2"/>
        <scheme val="minor"/>
      </rPr>
      <t>/s]</t>
    </r>
    <r>
      <rPr>
        <vertAlign val="subscript"/>
        <sz val="11"/>
        <color theme="3" tint="-0.249977111117893"/>
        <rFont val="Calibri"/>
        <family val="2"/>
        <scheme val="minor"/>
      </rPr>
      <t>min</t>
    </r>
  </si>
  <si>
    <r>
      <t>[1/θ</t>
    </r>
    <r>
      <rPr>
        <b/>
        <vertAlign val="subscript"/>
        <sz val="11"/>
        <color theme="3" tint="-0.249977111117893"/>
        <rFont val="Calibri"/>
        <family val="2"/>
        <scheme val="minor"/>
      </rPr>
      <t>0</t>
    </r>
    <r>
      <rPr>
        <b/>
        <sz val="11"/>
        <color theme="3" tint="-0.249977111117893"/>
        <rFont val="Calibri"/>
        <family val="2"/>
        <scheme val="minor"/>
      </rPr>
      <t>]</t>
    </r>
    <r>
      <rPr>
        <b/>
        <vertAlign val="subscript"/>
        <sz val="11"/>
        <color theme="3" tint="-0.249977111117893"/>
        <rFont val="Calibri"/>
        <family val="2"/>
        <scheme val="minor"/>
      </rPr>
      <t>requis</t>
    </r>
    <r>
      <rPr>
        <b/>
        <sz val="11"/>
        <color theme="3" tint="-0.249977111117893"/>
        <rFont val="Calibri"/>
        <family val="2"/>
        <scheme val="minor"/>
      </rPr>
      <t>= A</t>
    </r>
    <r>
      <rPr>
        <b/>
        <vertAlign val="subscript"/>
        <sz val="11"/>
        <color theme="3" tint="-0.249977111117893"/>
        <rFont val="Calibri"/>
        <family val="2"/>
        <scheme val="minor"/>
      </rPr>
      <t>sw</t>
    </r>
    <r>
      <rPr>
        <b/>
        <sz val="11"/>
        <color theme="3" tint="-0.249977111117893"/>
        <rFont val="Calibri"/>
        <family val="2"/>
        <scheme val="minor"/>
      </rPr>
      <t>/s</t>
    </r>
  </si>
  <si>
    <r>
      <t>en cm</t>
    </r>
    <r>
      <rPr>
        <vertAlign val="superscript"/>
        <sz val="11"/>
        <color theme="3" tint="-0.249977111117893"/>
        <rFont val="Calibri"/>
        <family val="2"/>
        <scheme val="minor"/>
      </rPr>
      <t>2</t>
    </r>
    <r>
      <rPr>
        <sz val="11"/>
        <color theme="3" tint="-0.249977111117893"/>
        <rFont val="Calibri"/>
        <family val="2"/>
        <scheme val="minor"/>
      </rPr>
      <t>/m</t>
    </r>
  </si>
  <si>
    <r>
      <t>1/θ</t>
    </r>
    <r>
      <rPr>
        <vertAlign val="subscript"/>
        <sz val="11"/>
        <color theme="3" tint="-0.249977111117893"/>
        <rFont val="Calibri"/>
        <family val="2"/>
        <scheme val="minor"/>
      </rPr>
      <t>M</t>
    </r>
    <r>
      <rPr>
        <sz val="11"/>
        <color theme="3" tint="-0.249977111117893"/>
        <rFont val="Calibri"/>
        <family val="2"/>
        <scheme val="minor"/>
      </rPr>
      <t>= [A</t>
    </r>
    <r>
      <rPr>
        <vertAlign val="subscript"/>
        <sz val="11"/>
        <color theme="3" tint="-0.249977111117893"/>
        <rFont val="Calibri"/>
        <family val="2"/>
        <scheme val="minor"/>
      </rPr>
      <t>sw</t>
    </r>
    <r>
      <rPr>
        <sz val="11"/>
        <color theme="3" tint="-0.249977111117893"/>
        <rFont val="Calibri"/>
        <family val="2"/>
        <scheme val="minor"/>
      </rPr>
      <t>/s]</t>
    </r>
    <r>
      <rPr>
        <vertAlign val="subscript"/>
        <sz val="11"/>
        <color theme="3" tint="-0.249977111117893"/>
        <rFont val="Calibri"/>
        <family val="2"/>
        <scheme val="minor"/>
      </rPr>
      <t>max</t>
    </r>
  </si>
  <si>
    <r>
      <t>s</t>
    </r>
    <r>
      <rPr>
        <vertAlign val="subscript"/>
        <sz val="11"/>
        <color theme="3" tint="-0.249977111117893"/>
        <rFont val="Calibri"/>
        <family val="2"/>
        <scheme val="minor"/>
      </rPr>
      <t>0,test</t>
    </r>
  </si>
  <si>
    <t>espacement donné 
par l'utilisateur</t>
  </si>
  <si>
    <r>
      <t>s</t>
    </r>
    <r>
      <rPr>
        <vertAlign val="subscript"/>
        <sz val="11"/>
        <color theme="3" tint="-0.249977111117893"/>
        <rFont val="Calibri"/>
        <family val="2"/>
        <scheme val="minor"/>
      </rPr>
      <t>l,max</t>
    </r>
  </si>
  <si>
    <t>espacement maximal 
longitudinal</t>
  </si>
  <si>
    <r>
      <t>└&gt; s</t>
    </r>
    <r>
      <rPr>
        <vertAlign val="subscript"/>
        <sz val="11"/>
        <color theme="3" tint="-0.249977111117893"/>
        <rFont val="Calibri"/>
        <family val="2"/>
        <scheme val="minor"/>
      </rPr>
      <t>0</t>
    </r>
  </si>
  <si>
    <t>espacement retenu</t>
  </si>
  <si>
    <r>
      <t>A</t>
    </r>
    <r>
      <rPr>
        <b/>
        <vertAlign val="subscript"/>
        <sz val="11"/>
        <color theme="3" tint="-0.249977111117893"/>
        <rFont val="Calibri"/>
        <family val="2"/>
        <scheme val="minor"/>
      </rPr>
      <t>sw,requis</t>
    </r>
  </si>
  <si>
    <t>section d'armatures 
d'âme requise pour une portée de 1m</t>
  </si>
  <si>
    <t>Ici, n=4</t>
  </si>
  <si>
    <t>Coupe A-A</t>
  </si>
  <si>
    <t>Armatures mises en place</t>
  </si>
  <si>
    <r>
      <t>φ</t>
    </r>
    <r>
      <rPr>
        <vertAlign val="subscript"/>
        <sz val="11"/>
        <color theme="3" tint="-0.249977111117893"/>
        <rFont val="Calibri"/>
        <family val="2"/>
      </rPr>
      <t>w</t>
    </r>
  </si>
  <si>
    <t>diamètre des barres 
transversales</t>
  </si>
  <si>
    <t xml:space="preserve">Pour une section d'armatures 
d'âme, on place : </t>
  </si>
  <si>
    <t>cadre(s)</t>
  </si>
  <si>
    <t>étrier(s)</t>
  </si>
  <si>
    <t>épingle(s)</t>
  </si>
  <si>
    <t>n</t>
  </si>
  <si>
    <t>nombre de sections d'armatures d'âme par mètre</t>
  </si>
  <si>
    <r>
      <t>A</t>
    </r>
    <r>
      <rPr>
        <b/>
        <vertAlign val="subscript"/>
        <sz val="11"/>
        <color theme="3" tint="-0.249977111117893"/>
        <rFont val="Calibri"/>
        <family val="2"/>
        <scheme val="minor"/>
      </rPr>
      <t>sw</t>
    </r>
  </si>
  <si>
    <t>section d'armatures d'âme mise en place sur 1m</t>
  </si>
  <si>
    <t xml:space="preserve">Dalles bénéficiant d'un effet de redistribution transversale </t>
  </si>
  <si>
    <t>Rectangulaire</t>
  </si>
  <si>
    <t>X0</t>
  </si>
  <si>
    <t>S1</t>
  </si>
  <si>
    <r>
      <t>Standard (</t>
    </r>
    <r>
      <rPr>
        <sz val="11"/>
        <color theme="0" tint="-0.249977111117893"/>
        <rFont val="Calibri"/>
        <family val="2"/>
      </rPr>
      <t>θ=45°)</t>
    </r>
  </si>
  <si>
    <t>Sollicitations</t>
  </si>
  <si>
    <t>Accidentelle</t>
  </si>
  <si>
    <t>En té</t>
  </si>
  <si>
    <t>Non</t>
  </si>
  <si>
    <t>XC1</t>
  </si>
  <si>
    <t>S2</t>
  </si>
  <si>
    <t>Inclinaison variable des bielles de béton</t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</si>
  <si>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Ed0</t>
    </r>
  </si>
  <si>
    <t>[1] Chap 8.  §2.3.1.</t>
  </si>
  <si>
    <t>effort tranchant réduit lié aux charges réparties prédominantes</t>
  </si>
  <si>
    <t>Voiles</t>
  </si>
  <si>
    <t>Sismique</t>
  </si>
  <si>
    <t>XC2,XC3</t>
  </si>
  <si>
    <t>S3</t>
  </si>
  <si>
    <r>
      <t>0,5.d</t>
    </r>
    <r>
      <rPr>
        <sz val="11"/>
        <color theme="3" tint="-0.249977111117893"/>
        <rFont val="Calibri"/>
        <family val="2"/>
      </rPr>
      <t>≤a</t>
    </r>
    <r>
      <rPr>
        <vertAlign val="subscript"/>
        <sz val="11"/>
        <color theme="3" tint="-0.249977111117893"/>
        <rFont val="Calibri"/>
        <family val="2"/>
      </rPr>
      <t>V</t>
    </r>
    <r>
      <rPr>
        <sz val="11"/>
        <color theme="3" tint="-0.249977111117893"/>
        <rFont val="Calibri"/>
        <family val="2"/>
      </rPr>
      <t>≤2.d</t>
    </r>
  </si>
  <si>
    <t>[1] Chap 8.  §2.3.2.</t>
  </si>
  <si>
    <t>Condition pour que les charges concentrées soient prises en compte</t>
  </si>
  <si>
    <t>β</t>
  </si>
  <si>
    <t>EC2 §6.2.2 (6)</t>
  </si>
  <si>
    <t>XD1,XS1</t>
  </si>
  <si>
    <t>S5</t>
  </si>
  <si>
    <r>
      <t>V'</t>
    </r>
    <r>
      <rPr>
        <vertAlign val="subscript"/>
        <sz val="11"/>
        <color theme="3" tint="-0.249977111117893"/>
        <rFont val="Calibri"/>
        <family val="2"/>
        <scheme val="minor"/>
      </rPr>
      <t>Ed0</t>
    </r>
  </si>
  <si>
    <t>effort tranchant réduit lié aux charges concentrées</t>
  </si>
  <si>
    <t>XD2,XS2</t>
  </si>
  <si>
    <t>S6</t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</si>
  <si>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Ed</t>
    </r>
    <r>
      <rPr>
        <sz val="11"/>
        <color theme="3" tint="-0.249977111117893"/>
        <rFont val="Calibri"/>
        <family val="2"/>
        <scheme val="minor"/>
      </rPr>
      <t>(p</t>
    </r>
    <r>
      <rPr>
        <vertAlign val="subscript"/>
        <sz val="11"/>
        <color theme="3" tint="-0.249977111117893"/>
        <rFont val="Calibri"/>
        <family val="2"/>
        <scheme val="minor"/>
      </rPr>
      <t>u</t>
    </r>
    <r>
      <rPr>
        <sz val="11"/>
        <color theme="3" tint="-0.249977111117893"/>
        <rFont val="Calibri"/>
        <family val="2"/>
        <scheme val="minor"/>
      </rPr>
      <t>)</t>
    </r>
  </si>
  <si>
    <t>Effort tranchant dû à la charge répartie</t>
  </si>
  <si>
    <t>XD3,XS3</t>
  </si>
  <si>
    <t>XF</t>
  </si>
  <si>
    <t>XA</t>
  </si>
  <si>
    <t>z</t>
  </si>
  <si>
    <t>[1] Chap 8.  §4.4.2. (6.14)</t>
  </si>
  <si>
    <t>Bras de levier entre les résultantes des efforts dans les membrures comprimée et tendue</t>
  </si>
  <si>
    <r>
      <t>A</t>
    </r>
    <r>
      <rPr>
        <vertAlign val="subscript"/>
        <sz val="11"/>
        <color theme="3" tint="-0.249977111117893"/>
        <rFont val="Calibri"/>
        <family val="2"/>
        <scheme val="minor"/>
      </rPr>
      <t>c</t>
    </r>
  </si>
  <si>
    <t>Section de béton</t>
  </si>
  <si>
    <t>d'</t>
  </si>
  <si>
    <t>hauteur utile des aciers comprimés</t>
  </si>
  <si>
    <r>
      <t>α</t>
    </r>
    <r>
      <rPr>
        <vertAlign val="subscript"/>
        <sz val="11"/>
        <color theme="3" tint="-0.249977111117893"/>
        <rFont val="Calibri"/>
        <family val="2"/>
      </rPr>
      <t>rad</t>
    </r>
  </si>
  <si>
    <t>rad</t>
  </si>
  <si>
    <t>alpha en radians</t>
  </si>
  <si>
    <r>
      <t>cotg(</t>
    </r>
    <r>
      <rPr>
        <sz val="11"/>
        <color theme="3" tint="-0.249977111117893"/>
        <rFont val="Calibri"/>
        <family val="2"/>
      </rPr>
      <t>α)</t>
    </r>
  </si>
  <si>
    <r>
      <rPr>
        <sz val="8"/>
        <color theme="3" tint="-0.249977111117893"/>
        <rFont val="Calibri"/>
        <family val="2"/>
      </rPr>
      <t xml:space="preserve">α : </t>
    </r>
    <r>
      <rPr>
        <sz val="8"/>
        <color theme="3" tint="-0.249977111117893"/>
        <rFont val="Calibri"/>
        <family val="2"/>
        <scheme val="minor"/>
      </rPr>
      <t>inclinaison des armatures d'âme par rapport à la ligne moyenne</t>
    </r>
  </si>
  <si>
    <r>
      <t>φ</t>
    </r>
    <r>
      <rPr>
        <vertAlign val="subscript"/>
        <sz val="11"/>
        <color theme="1"/>
        <rFont val="Calibri"/>
        <family val="2"/>
        <scheme val="minor"/>
      </rPr>
      <t>max</t>
    </r>
  </si>
  <si>
    <r>
      <rPr>
        <sz val="11"/>
        <color theme="3" tint="-0.249977111117893"/>
        <rFont val="Calibri"/>
        <family val="2"/>
      </rPr>
      <t>α</t>
    </r>
    <r>
      <rPr>
        <vertAlign val="subscript"/>
        <sz val="11"/>
        <color theme="3" tint="-0.249977111117893"/>
        <rFont val="Calibri"/>
        <family val="2"/>
        <scheme val="minor"/>
      </rPr>
      <t>cc</t>
    </r>
  </si>
  <si>
    <t>EC2 §3.1.6. (1) note</t>
  </si>
  <si>
    <r>
      <t>γ</t>
    </r>
    <r>
      <rPr>
        <vertAlign val="subscript"/>
        <sz val="11"/>
        <color theme="3" tint="-0.249977111117893"/>
        <rFont val="Calibri"/>
        <family val="2"/>
        <scheme val="minor"/>
      </rPr>
      <t>c</t>
    </r>
  </si>
  <si>
    <t>EC2 §2.4.2.4. (1)</t>
  </si>
  <si>
    <t>coefficient partiel relatif au béton</t>
  </si>
  <si>
    <r>
      <t>f</t>
    </r>
    <r>
      <rPr>
        <vertAlign val="subscript"/>
        <sz val="11"/>
        <color theme="3" tint="-0.249977111117893"/>
        <rFont val="Calibri"/>
        <family val="2"/>
        <scheme val="minor"/>
      </rPr>
      <t>cd</t>
    </r>
  </si>
  <si>
    <t>EC2 §3.1.6. (1)  (3.15)</t>
  </si>
  <si>
    <t>résistance de calcul en compression du béton</t>
  </si>
  <si>
    <r>
      <t>ν</t>
    </r>
    <r>
      <rPr>
        <vertAlign val="subscript"/>
        <sz val="11"/>
        <color theme="3" tint="-0.249977111117893"/>
        <rFont val="Calibri"/>
        <family val="2"/>
      </rPr>
      <t>1</t>
    </r>
  </si>
  <si>
    <t>EC2 §6.2.3.(3) Note 1&amp;2</t>
  </si>
  <si>
    <r>
      <t>γ</t>
    </r>
    <r>
      <rPr>
        <vertAlign val="subscript"/>
        <sz val="11"/>
        <color theme="3" tint="-0.249977111117893"/>
        <rFont val="Calibri"/>
        <family val="2"/>
      </rPr>
      <t>s</t>
    </r>
  </si>
  <si>
    <t>coefficient partiel relatif à l'acier</t>
  </si>
  <si>
    <r>
      <t>f</t>
    </r>
    <r>
      <rPr>
        <vertAlign val="subscript"/>
        <sz val="11"/>
        <color theme="3" tint="-0.249977111117893"/>
        <rFont val="Calibri"/>
        <family val="2"/>
        <scheme val="minor"/>
      </rPr>
      <t>ywd</t>
    </r>
  </si>
  <si>
    <t>[1] Chap 3.  §2.4.2.1</t>
  </si>
  <si>
    <t>Limite d'élasticité de calcul des armatures d'effort tranchant</t>
  </si>
  <si>
    <r>
      <t>Classe d'exposition c</t>
    </r>
    <r>
      <rPr>
        <vertAlign val="subscript"/>
        <sz val="11"/>
        <color theme="3" tint="-0.249977111117893"/>
        <rFont val="Calibri"/>
        <family val="2"/>
        <scheme val="minor"/>
      </rPr>
      <t>min,dur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</si>
  <si>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Rd,C1</t>
    </r>
  </si>
  <si>
    <t>EC2 §6.2.2.(1)</t>
  </si>
  <si>
    <t>effort tranchant résistant de calcul</t>
  </si>
  <si>
    <r>
      <t>C</t>
    </r>
    <r>
      <rPr>
        <vertAlign val="subscript"/>
        <sz val="11"/>
        <color theme="3" tint="-0.249977111117893"/>
        <rFont val="Calibri"/>
        <family val="2"/>
        <scheme val="minor"/>
      </rPr>
      <t>Rd,C</t>
    </r>
  </si>
  <si>
    <t>k</t>
  </si>
  <si>
    <r>
      <t>ρ</t>
    </r>
    <r>
      <rPr>
        <vertAlign val="subscript"/>
        <sz val="11"/>
        <color theme="3" tint="-0.249977111117893"/>
        <rFont val="Calibri"/>
        <family val="2"/>
      </rPr>
      <t>l</t>
    </r>
  </si>
  <si>
    <t>pourcentage d'armatures longitudinales</t>
  </si>
  <si>
    <r>
      <t>k</t>
    </r>
    <r>
      <rPr>
        <vertAlign val="subscript"/>
        <sz val="11"/>
        <color theme="3" tint="-0.249977111117893"/>
        <rFont val="Calibri"/>
        <family val="2"/>
      </rPr>
      <t>1</t>
    </r>
  </si>
  <si>
    <r>
      <t>σ</t>
    </r>
    <r>
      <rPr>
        <vertAlign val="subscript"/>
        <sz val="11"/>
        <color theme="3" tint="-0.249977111117893"/>
        <rFont val="Calibri"/>
        <family val="2"/>
      </rPr>
      <t>cp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</si>
  <si>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Rd,C2</t>
    </r>
  </si>
  <si>
    <t>Valeur minimale de l'effort tranchant résistant de calcul</t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</si>
  <si>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min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</si>
  <si>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Rd,C</t>
    </r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</si>
  <si>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Ed,lim</t>
    </r>
  </si>
  <si>
    <t>EC2 §6.2.2.(6) (6.5)</t>
  </si>
  <si>
    <t>Valeur maximale de l'effort tranchant en cas de charges concentrées</t>
  </si>
  <si>
    <t>ν</t>
  </si>
  <si>
    <t>EC2 §6.2.2.(6) (6.6N)</t>
  </si>
  <si>
    <r>
      <t>V</t>
    </r>
    <r>
      <rPr>
        <b/>
        <vertAlign val="subscript"/>
        <sz val="11"/>
        <color theme="3" tint="-0.249977111117893"/>
        <rFont val="Calibri"/>
        <family val="2"/>
        <scheme val="minor"/>
      </rPr>
      <t>Rd,max</t>
    </r>
  </si>
  <si>
    <t>[1] Chap 8.  §4.4.2. (6.14) &amp; EC2 §6.2.3.(3) (6.9)</t>
  </si>
  <si>
    <t xml:space="preserve">effort tranchant de calcul maximal pouvant être supporté sans provoquer l'écrasement des bielles de béton </t>
  </si>
  <si>
    <r>
      <t>α</t>
    </r>
    <r>
      <rPr>
        <vertAlign val="subscript"/>
        <sz val="11"/>
        <color theme="3" tint="-0.249977111117893"/>
        <rFont val="Calibri"/>
        <family val="2"/>
      </rPr>
      <t>calc</t>
    </r>
  </si>
  <si>
    <r>
      <t xml:space="preserve">Calcul de </t>
    </r>
    <r>
      <rPr>
        <sz val="11"/>
        <color theme="3" tint="-0.249977111117893"/>
        <rFont val="Calibri"/>
        <family val="2"/>
      </rPr>
      <t>θ</t>
    </r>
  </si>
  <si>
    <t>angle d'inclinaison des bielles par rapport à la ligne moyenne</t>
  </si>
  <si>
    <r>
      <t>ν</t>
    </r>
    <r>
      <rPr>
        <vertAlign val="subscript"/>
        <sz val="11"/>
        <color theme="3" tint="-0.249977111117893"/>
        <rFont val="Calibri"/>
        <family val="2"/>
      </rPr>
      <t>0</t>
    </r>
  </si>
  <si>
    <t>[1] Chap.8 §4.4.7.</t>
  </si>
  <si>
    <r>
      <t>cotg(</t>
    </r>
    <r>
      <rPr>
        <sz val="11"/>
        <color theme="3" tint="-0.249977111117893"/>
        <rFont val="Calibri"/>
        <family val="2"/>
      </rPr>
      <t>θ)</t>
    </r>
    <r>
      <rPr>
        <vertAlign val="subscript"/>
        <sz val="11"/>
        <color theme="3" tint="-0.249977111117893"/>
        <rFont val="Calibri"/>
        <family val="2"/>
      </rPr>
      <t>calculé</t>
    </r>
  </si>
  <si>
    <r>
      <t>cotg(</t>
    </r>
    <r>
      <rPr>
        <sz val="11"/>
        <color theme="3" tint="-0.249977111117893"/>
        <rFont val="Calibri"/>
        <family val="2"/>
      </rPr>
      <t>θ)</t>
    </r>
    <r>
      <rPr>
        <vertAlign val="subscript"/>
        <sz val="11"/>
        <color theme="3" tint="-0.249977111117893"/>
        <rFont val="Calibri"/>
        <family val="2"/>
      </rPr>
      <t>retenu</t>
    </r>
  </si>
  <si>
    <t>EC2 §6.2.3.(2)</t>
  </si>
  <si>
    <t>θ final</t>
  </si>
  <si>
    <t>θ</t>
  </si>
  <si>
    <t>donné par l'utilisateur</t>
  </si>
  <si>
    <r>
      <t>cotg(</t>
    </r>
    <r>
      <rPr>
        <sz val="11"/>
        <color theme="3" tint="-0.249977111117893"/>
        <rFont val="Calibri"/>
        <family val="2"/>
      </rPr>
      <t>θ)</t>
    </r>
  </si>
  <si>
    <t>Comparaisons</t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</si>
  <si>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Ed</t>
    </r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</si>
  <si>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Ed,lim1</t>
    </r>
  </si>
  <si>
    <r>
      <t xml:space="preserve">[1] Chap.8 </t>
    </r>
    <r>
      <rPr>
        <sz val="8"/>
        <color theme="3" tint="-0.249977111117893"/>
        <rFont val="Calibri"/>
        <family val="2"/>
      </rPr>
      <t>§3.3.1.</t>
    </r>
  </si>
  <si>
    <t>valable que dans le cas de charges concentrées</t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</si>
  <si>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Rd,C1</t>
    </r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</si>
  <si>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Rd,C</t>
    </r>
  </si>
  <si>
    <r>
      <t>A</t>
    </r>
    <r>
      <rPr>
        <b/>
        <vertAlign val="subscript"/>
        <sz val="11"/>
        <color theme="3" tint="-0.249977111117893"/>
        <rFont val="Calibri"/>
        <family val="2"/>
        <scheme val="minor"/>
      </rPr>
      <t>sw</t>
    </r>
    <r>
      <rPr>
        <b/>
        <sz val="11"/>
        <color theme="3" tint="-0.249977111117893"/>
        <rFont val="Calibri"/>
        <family val="2"/>
        <scheme val="minor"/>
      </rPr>
      <t>&lt;&gt;0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</si>
  <si>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sw</t>
    </r>
    <r>
      <rPr>
        <b/>
        <sz val="11"/>
        <color theme="1"/>
        <rFont val="Calibri"/>
        <family val="2"/>
        <scheme val="minor"/>
      </rPr>
      <t>=0</t>
    </r>
  </si>
  <si>
    <r>
      <t>V</t>
    </r>
    <r>
      <rPr>
        <vertAlign val="subscript"/>
        <sz val="11"/>
        <color theme="3" tint="-0.249977111117893"/>
        <rFont val="Calibri"/>
        <family val="2"/>
        <scheme val="minor"/>
      </rPr>
      <t>Rd,max</t>
    </r>
  </si>
  <si>
    <r>
      <t>V</t>
    </r>
    <r>
      <rPr>
        <vertAlign val="subscript"/>
        <sz val="11"/>
        <color theme="1"/>
        <rFont val="Calibri"/>
        <family val="2"/>
        <scheme val="minor"/>
      </rPr>
      <t>Ed</t>
    </r>
  </si>
  <si>
    <r>
      <t>V</t>
    </r>
    <r>
      <rPr>
        <vertAlign val="subscript"/>
        <sz val="11"/>
        <color theme="1"/>
        <rFont val="Calibri"/>
        <family val="2"/>
        <scheme val="minor"/>
      </rPr>
      <t>Rd,max</t>
    </r>
  </si>
  <si>
    <t>└&gt;</t>
  </si>
  <si>
    <r>
      <t>1/</t>
    </r>
    <r>
      <rPr>
        <sz val="11"/>
        <color theme="3" tint="-0.249977111117893"/>
        <rFont val="Calibri"/>
        <family val="2"/>
      </rPr>
      <t>θ</t>
    </r>
    <r>
      <rPr>
        <vertAlign val="subscript"/>
        <sz val="11"/>
        <color theme="3" tint="-0.249977111117893"/>
        <rFont val="Calibri"/>
        <family val="2"/>
        <scheme val="minor"/>
      </rPr>
      <t>0,i</t>
    </r>
    <r>
      <rPr>
        <sz val="11"/>
        <color theme="3" tint="-0.249977111117893"/>
        <rFont val="Calibri"/>
        <family val="2"/>
        <scheme val="minor"/>
      </rPr>
      <t>=A</t>
    </r>
    <r>
      <rPr>
        <vertAlign val="subscript"/>
        <sz val="11"/>
        <color theme="3" tint="-0.249977111117893"/>
        <rFont val="Calibri"/>
        <family val="2"/>
        <scheme val="minor"/>
      </rPr>
      <t>sw</t>
    </r>
    <r>
      <rPr>
        <sz val="11"/>
        <color theme="3" tint="-0.249977111117893"/>
        <rFont val="Calibri"/>
        <family val="2"/>
        <scheme val="minor"/>
      </rPr>
      <t>/s</t>
    </r>
  </si>
  <si>
    <r>
      <t>cm</t>
    </r>
    <r>
      <rPr>
        <vertAlign val="superscript"/>
        <sz val="11"/>
        <color theme="3" tint="-0.249977111117893"/>
        <rFont val="Calibri"/>
        <family val="2"/>
        <scheme val="minor"/>
      </rPr>
      <t>2</t>
    </r>
    <r>
      <rPr>
        <sz val="11"/>
        <color theme="3" tint="-0.249977111117893"/>
        <rFont val="Calibri"/>
        <family val="2"/>
        <scheme val="minor"/>
      </rPr>
      <t>/cm</t>
    </r>
  </si>
  <si>
    <t>Si VEd≤VRd,max</t>
  </si>
  <si>
    <r>
      <t>1/</t>
    </r>
    <r>
      <rPr>
        <sz val="11"/>
        <color theme="3" tint="-0.249977111117893"/>
        <rFont val="Calibri"/>
        <family val="2"/>
      </rPr>
      <t>θ</t>
    </r>
    <r>
      <rPr>
        <vertAlign val="subscript"/>
        <sz val="11"/>
        <color theme="3" tint="-0.249977111117893"/>
        <rFont val="Calibri"/>
        <family val="2"/>
      </rPr>
      <t>m</t>
    </r>
    <r>
      <rPr>
        <sz val="11"/>
        <color theme="3" tint="-0.249977111117893"/>
        <rFont val="Calibri"/>
        <family val="2"/>
        <scheme val="minor"/>
      </rPr>
      <t>=[A</t>
    </r>
    <r>
      <rPr>
        <vertAlign val="subscript"/>
        <sz val="11"/>
        <color theme="3" tint="-0.249977111117893"/>
        <rFont val="Calibri"/>
        <family val="2"/>
        <scheme val="minor"/>
      </rPr>
      <t>sw</t>
    </r>
    <r>
      <rPr>
        <sz val="11"/>
        <color theme="3" tint="-0.249977111117893"/>
        <rFont val="Calibri"/>
        <family val="2"/>
        <scheme val="minor"/>
      </rPr>
      <t>/s]</t>
    </r>
    <r>
      <rPr>
        <vertAlign val="subscript"/>
        <sz val="11"/>
        <color theme="3" tint="-0.249977111117893"/>
        <rFont val="Calibri"/>
        <family val="2"/>
        <scheme val="minor"/>
      </rPr>
      <t>min</t>
    </r>
  </si>
  <si>
    <t>EC2 §9.2.2.(5) NOTE(9.5N)</t>
  </si>
  <si>
    <t>&lt;</t>
  </si>
  <si>
    <r>
      <t>1/</t>
    </r>
    <r>
      <rPr>
        <b/>
        <sz val="11"/>
        <color theme="3" tint="-0.249977111117893"/>
        <rFont val="Calibri"/>
        <family val="2"/>
      </rPr>
      <t>θ</t>
    </r>
    <r>
      <rPr>
        <b/>
        <vertAlign val="subscript"/>
        <sz val="11"/>
        <color theme="3" tint="-0.249977111117893"/>
        <rFont val="Calibri"/>
        <family val="2"/>
        <scheme val="minor"/>
      </rPr>
      <t>0</t>
    </r>
    <r>
      <rPr>
        <b/>
        <sz val="11"/>
        <color theme="3" tint="-0.249977111117893"/>
        <rFont val="Calibri"/>
        <family val="2"/>
        <scheme val="minor"/>
      </rPr>
      <t>=A</t>
    </r>
    <r>
      <rPr>
        <b/>
        <vertAlign val="subscript"/>
        <sz val="11"/>
        <color theme="3" tint="-0.249977111117893"/>
        <rFont val="Calibri"/>
        <family val="2"/>
        <scheme val="minor"/>
      </rPr>
      <t>sw</t>
    </r>
    <r>
      <rPr>
        <b/>
        <sz val="11"/>
        <color theme="3" tint="-0.249977111117893"/>
        <rFont val="Calibri"/>
        <family val="2"/>
        <scheme val="minor"/>
      </rPr>
      <t>/s</t>
    </r>
  </si>
  <si>
    <r>
      <t>ρ</t>
    </r>
    <r>
      <rPr>
        <vertAlign val="subscript"/>
        <sz val="11"/>
        <color theme="1"/>
        <rFont val="Calibri"/>
        <family val="2"/>
      </rPr>
      <t>w,min</t>
    </r>
    <r>
      <rPr>
        <sz val="11"/>
        <color theme="1"/>
        <rFont val="Calibri"/>
        <family val="2"/>
      </rPr>
      <t>=[A</t>
    </r>
    <r>
      <rPr>
        <vertAlign val="subscript"/>
        <sz val="11"/>
        <color theme="1"/>
        <rFont val="Calibri"/>
        <family val="2"/>
      </rPr>
      <t>sw</t>
    </r>
    <r>
      <rPr>
        <sz val="11"/>
        <color theme="1"/>
        <rFont val="Calibri"/>
        <family val="2"/>
      </rPr>
      <t>/(s.b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>.sinα)]</t>
    </r>
    <r>
      <rPr>
        <vertAlign val="subscript"/>
        <sz val="11"/>
        <color theme="1"/>
        <rFont val="Calibri"/>
        <family val="2"/>
      </rPr>
      <t>min</t>
    </r>
  </si>
  <si>
    <t>EC2 6.2.1.(4) §9.2.2.(5) NOTE(9.5N)</t>
  </si>
  <si>
    <t>Pourcentage minimal d'armatures d'effort tranchant</t>
  </si>
  <si>
    <r>
      <t>1/</t>
    </r>
    <r>
      <rPr>
        <sz val="11"/>
        <color theme="3" tint="-0.249977111117893"/>
        <rFont val="Calibri"/>
        <family val="2"/>
      </rPr>
      <t>θ</t>
    </r>
    <r>
      <rPr>
        <vertAlign val="subscript"/>
        <sz val="11"/>
        <color theme="3" tint="-0.249977111117893"/>
        <rFont val="Calibri"/>
        <family val="2"/>
      </rPr>
      <t>M</t>
    </r>
    <r>
      <rPr>
        <sz val="11"/>
        <color theme="3" tint="-0.249977111117893"/>
        <rFont val="Calibri"/>
        <family val="2"/>
        <scheme val="minor"/>
      </rPr>
      <t>=[A</t>
    </r>
    <r>
      <rPr>
        <vertAlign val="subscript"/>
        <sz val="11"/>
        <color theme="3" tint="-0.249977111117893"/>
        <rFont val="Calibri"/>
        <family val="2"/>
        <scheme val="minor"/>
      </rPr>
      <t>sw</t>
    </r>
    <r>
      <rPr>
        <sz val="11"/>
        <color theme="3" tint="-0.249977111117893"/>
        <rFont val="Calibri"/>
        <family val="2"/>
        <scheme val="minor"/>
      </rPr>
      <t>/s]</t>
    </r>
    <r>
      <rPr>
        <vertAlign val="subscript"/>
        <sz val="11"/>
        <color theme="3" tint="-0.249977111117893"/>
        <rFont val="Calibri"/>
        <family val="2"/>
        <scheme val="minor"/>
      </rPr>
      <t>max</t>
    </r>
  </si>
  <si>
    <t>[1] Chap 8.  §4.4.3. (6.15)</t>
  </si>
  <si>
    <t>&gt;</t>
  </si>
  <si>
    <r>
      <t>1/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  <scheme val="minor"/>
      </rPr>
      <t>0,min</t>
    </r>
    <r>
      <rPr>
        <b/>
        <sz val="11"/>
        <color theme="1"/>
        <rFont val="Calibri"/>
        <family val="2"/>
        <scheme val="minor"/>
      </rPr>
      <t>=[A</t>
    </r>
    <r>
      <rPr>
        <b/>
        <vertAlign val="subscript"/>
        <sz val="11"/>
        <color theme="1"/>
        <rFont val="Calibri"/>
        <family val="2"/>
        <scheme val="minor"/>
      </rPr>
      <t>sw</t>
    </r>
    <r>
      <rPr>
        <b/>
        <sz val="11"/>
        <color theme="1"/>
        <rFont val="Calibri"/>
        <family val="2"/>
        <scheme val="minor"/>
      </rPr>
      <t>/s]</t>
    </r>
    <r>
      <rPr>
        <b/>
        <vertAlign val="subscript"/>
        <sz val="11"/>
        <color theme="1"/>
        <rFont val="Calibri"/>
        <family val="2"/>
        <scheme val="minor"/>
      </rPr>
      <t>min</t>
    </r>
  </si>
  <si>
    <r>
      <t>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/cm</t>
    </r>
  </si>
  <si>
    <t>EC2 §9.2.2.(5) (9.4)</t>
  </si>
  <si>
    <t>Ne pas modifier les formules des cellules : 
cette zone est pilotée par une Macro</t>
  </si>
  <si>
    <r>
      <t>1/θ</t>
    </r>
    <r>
      <rPr>
        <b/>
        <vertAlign val="subscript"/>
        <sz val="11"/>
        <color theme="3" tint="-0.249977111117893"/>
        <rFont val="Calibri"/>
        <family val="2"/>
        <scheme val="minor"/>
      </rPr>
      <t>0</t>
    </r>
    <r>
      <rPr>
        <b/>
        <sz val="11"/>
        <color theme="3" tint="-0.249977111117893"/>
        <rFont val="Calibri"/>
        <family val="2"/>
        <scheme val="minor"/>
      </rPr>
      <t>=A</t>
    </r>
    <r>
      <rPr>
        <b/>
        <vertAlign val="subscript"/>
        <sz val="11"/>
        <color theme="3" tint="-0.249977111117893"/>
        <rFont val="Calibri"/>
        <family val="2"/>
        <scheme val="minor"/>
      </rPr>
      <t>sw</t>
    </r>
    <r>
      <rPr>
        <b/>
        <sz val="11"/>
        <color theme="3" tint="-0.249977111117893"/>
        <rFont val="Calibri"/>
        <family val="2"/>
        <scheme val="minor"/>
      </rPr>
      <t>/s</t>
    </r>
  </si>
  <si>
    <r>
      <t>cm</t>
    </r>
    <r>
      <rPr>
        <b/>
        <vertAlign val="superscript"/>
        <sz val="11"/>
        <color theme="3" tint="-0.249977111117893"/>
        <rFont val="Calibri"/>
        <family val="2"/>
        <scheme val="minor"/>
      </rPr>
      <t>2</t>
    </r>
    <r>
      <rPr>
        <b/>
        <sz val="11"/>
        <color theme="3" tint="-0.249977111117893"/>
        <rFont val="Calibri"/>
        <family val="2"/>
        <scheme val="minor"/>
      </rPr>
      <t>/m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</si>
</sst>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"/>
    <numFmt numFmtId="168" formatCode="0.00&quot;m&quot;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theme="3" tint="-0.24994659260841701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vertAlign val="subscript"/>
      <sz val="8"/>
      <color theme="3" tint="-0.249977111117893"/>
      <name val="Calibri"/>
      <family val="2"/>
      <scheme val="minor"/>
    </font>
    <font>
      <vertAlign val="subscript"/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</font>
    <font>
      <vertAlign val="subscript"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</font>
    <font>
      <b/>
      <vertAlign val="subscript"/>
      <sz val="11"/>
      <color theme="3" tint="-0.249977111117893"/>
      <name val="Calibri"/>
      <family val="2"/>
    </font>
    <font>
      <b/>
      <vertAlign val="subscript"/>
      <sz val="11"/>
      <color theme="3" tint="-0.249977111117893"/>
      <name val="Calibri"/>
      <family val="2"/>
      <scheme val="minor"/>
    </font>
    <font>
      <b/>
      <vertAlign val="superscript"/>
      <sz val="11"/>
      <color theme="3" tint="-0.249977111117893"/>
      <name val="Calibri"/>
      <family val="2"/>
      <scheme val="minor"/>
    </font>
    <font>
      <vertAlign val="superscript"/>
      <sz val="11"/>
      <color theme="3" tint="-0.249977111117893"/>
      <name val="Calibri"/>
      <family val="2"/>
      <scheme val="minor"/>
    </font>
    <font>
      <sz val="8"/>
      <color theme="3" tint="-0.249977111117893"/>
      <name val="Calibri"/>
      <family val="2"/>
    </font>
    <font>
      <b/>
      <sz val="18"/>
      <color theme="3" tint="-0.249977111117893"/>
      <name val="Calibri"/>
      <family val="2"/>
      <scheme val="minor"/>
    </font>
    <font>
      <i/>
      <sz val="8"/>
      <color theme="3" tint="-0.249977111117893"/>
      <name val="Calibri"/>
      <family val="2"/>
      <scheme val="minor"/>
    </font>
    <font>
      <i/>
      <sz val="8"/>
      <color theme="3" tint="-0.249977111117893"/>
      <name val="Calibri"/>
      <family val="2"/>
    </font>
    <font>
      <i/>
      <vertAlign val="subscript"/>
      <sz val="8"/>
      <color theme="3" tint="-0.249977111117893"/>
      <name val="Calibri"/>
      <family val="2"/>
      <scheme val="minor"/>
    </font>
    <font>
      <b/>
      <i/>
      <sz val="8"/>
      <color theme="3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vertAlign val="subscript"/>
      <sz val="9"/>
      <color rgb="FFFF0000"/>
      <name val="Calibri"/>
      <family val="2"/>
      <scheme val="minor"/>
    </font>
    <font>
      <b/>
      <sz val="11"/>
      <color theme="3" tint="-0.2499465926084170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1"/>
      <color theme="3" tint="-0.249977111117893"/>
      <name val="Calibri"/>
      <family val="2"/>
      <scheme val="minor"/>
    </font>
    <font>
      <b/>
      <i/>
      <sz val="12"/>
      <color theme="3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i/>
      <sz val="11"/>
      <color theme="1"/>
      <name val="Calibri"/>
      <family val="2"/>
    </font>
    <font>
      <sz val="11"/>
      <color rgb="FF0070C0"/>
      <name val="Calibri"/>
      <family val="2"/>
    </font>
    <font>
      <sz val="8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C000"/>
      </right>
      <top style="thin">
        <color theme="1"/>
      </top>
      <bottom style="medium">
        <color theme="1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 style="medium">
        <color theme="3" tint="-0.249977111117893"/>
      </bottom>
      <diagonal/>
    </border>
    <border>
      <left/>
      <right/>
      <top style="medium">
        <color theme="3" tint="-0.249977111117893"/>
      </top>
      <bottom style="medium">
        <color theme="3" tint="-0.249977111117893"/>
      </bottom>
      <diagonal/>
    </border>
    <border>
      <left/>
      <right style="medium">
        <color theme="3" tint="-0.249977111117893"/>
      </right>
      <top style="medium">
        <color theme="3" tint="-0.249977111117893"/>
      </top>
      <bottom style="medium">
        <color theme="3" tint="-0.24997711111789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medium">
        <color theme="3" tint="-0.249977111117893"/>
      </bottom>
      <diagonal/>
    </border>
    <border>
      <left/>
      <right/>
      <top style="thin">
        <color theme="3" tint="-0.249977111117893"/>
      </top>
      <bottom style="thin">
        <color theme="3" tint="-0.249977111117893"/>
      </bottom>
      <diagonal/>
    </border>
    <border>
      <left/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/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3" tint="-0.249977111117893"/>
      </bottom>
      <diagonal/>
    </border>
    <border>
      <left/>
      <right style="thin">
        <color theme="3" tint="-0.249977111117893"/>
      </right>
      <top style="medium">
        <color indexed="64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medium">
        <color indexed="64"/>
      </top>
      <bottom style="thin">
        <color theme="3" tint="-0.249977111117893"/>
      </bottom>
      <diagonal/>
    </border>
    <border>
      <left style="medium">
        <color indexed="64"/>
      </left>
      <right/>
      <top style="thin">
        <color theme="3" tint="-0.249977111117893"/>
      </top>
      <bottom style="thin">
        <color theme="3" tint="-0.249977111117893"/>
      </bottom>
      <diagonal/>
    </border>
    <border>
      <left style="medium">
        <color indexed="64"/>
      </left>
      <right/>
      <top style="thin">
        <color theme="3" tint="-0.249977111117893"/>
      </top>
      <bottom style="medium">
        <color indexed="64"/>
      </bottom>
      <diagonal/>
    </border>
    <border>
      <left/>
      <right style="thin">
        <color theme="3" tint="-0.249977111117893"/>
      </right>
      <top style="thin">
        <color theme="3" tint="-0.249977111117893"/>
      </top>
      <bottom style="medium">
        <color indexed="64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medium">
        <color indexed="64"/>
      </bottom>
      <diagonal/>
    </border>
    <border>
      <left/>
      <right/>
      <top style="medium">
        <color theme="3" tint="-0.249977111117893"/>
      </top>
      <bottom style="medium">
        <color indexed="64"/>
      </bottom>
      <diagonal/>
    </border>
    <border>
      <left/>
      <right style="thin">
        <color theme="3" tint="-0.249977111117893"/>
      </right>
      <top style="thin">
        <color theme="3" tint="-0.249977111117893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3" tint="-0.249977111117893"/>
      </left>
      <right/>
      <top style="thin">
        <color theme="3" tint="-0.249977111117893"/>
      </top>
      <bottom style="medium">
        <color indexed="64"/>
      </bottom>
      <diagonal/>
    </border>
    <border>
      <left/>
      <right/>
      <top style="thin">
        <color theme="3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3" tint="-0.249977111117893"/>
      </top>
      <bottom style="medium">
        <color indexed="64"/>
      </bottom>
      <diagonal/>
    </border>
    <border>
      <left style="thin">
        <color theme="3" tint="-0.249977111117893"/>
      </left>
      <right/>
      <top style="thin">
        <color theme="3" tint="-0.249977111117893"/>
      </top>
      <bottom style="thin">
        <color theme="3" tint="-0.249977111117893"/>
      </bottom>
      <diagonal/>
    </border>
    <border>
      <left/>
      <right style="medium">
        <color indexed="64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 style="medium">
        <color indexed="64"/>
      </top>
      <bottom style="thin">
        <color theme="3" tint="-0.249977111117893"/>
      </bottom>
      <diagonal/>
    </border>
    <border>
      <left/>
      <right/>
      <top style="medium">
        <color indexed="64"/>
      </top>
      <bottom style="thin">
        <color theme="3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3" tint="-0.249977111117893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3" tint="-0.249977111117893"/>
      </bottom>
      <diagonal/>
    </border>
    <border>
      <left/>
      <right/>
      <top style="medium">
        <color indexed="64"/>
      </top>
      <bottom style="medium">
        <color theme="3" tint="-0.249977111117893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24997711111789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3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3" tint="-0.249977111117893"/>
      </left>
      <right style="thin">
        <color theme="3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3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3" tint="-0.249977111117893"/>
      </right>
      <top style="medium">
        <color indexed="64"/>
      </top>
      <bottom style="thin">
        <color theme="3" tint="-0.249977111117893"/>
      </bottom>
      <diagonal/>
    </border>
    <border>
      <left style="thin">
        <color theme="3" tint="-0.249977111117893"/>
      </left>
      <right style="medium">
        <color indexed="64"/>
      </right>
      <top style="medium">
        <color indexed="64"/>
      </top>
      <bottom style="thin">
        <color theme="3" tint="-0.249977111117893"/>
      </bottom>
      <diagonal/>
    </border>
    <border>
      <left style="medium">
        <color indexed="64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 style="medium">
        <color indexed="64"/>
      </right>
      <top style="thin">
        <color theme="3" tint="-0.249977111117893"/>
      </top>
      <bottom style="thin">
        <color theme="3" tint="-0.249977111117893"/>
      </bottom>
      <diagonal/>
    </border>
    <border>
      <left style="medium">
        <color indexed="64"/>
      </left>
      <right style="thin">
        <color theme="3" tint="-0.249977111117893"/>
      </right>
      <top style="thin">
        <color theme="3" tint="-0.249977111117893"/>
      </top>
      <bottom style="medium">
        <color indexed="64"/>
      </bottom>
      <diagonal/>
    </border>
    <border>
      <left style="thin">
        <color theme="3" tint="-0.249977111117893"/>
      </left>
      <right style="medium">
        <color indexed="64"/>
      </right>
      <top style="thin">
        <color theme="3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3" tint="-0.249977111117893"/>
      </right>
      <top style="thin">
        <color theme="3" tint="-0.249977111117893"/>
      </top>
      <bottom/>
      <diagonal/>
    </border>
    <border>
      <left style="medium">
        <color indexed="64"/>
      </left>
      <right style="thin">
        <color theme="3" tint="-0.249977111117893"/>
      </right>
      <top/>
      <bottom style="thin">
        <color theme="3" tint="-0.249977111117893"/>
      </bottom>
      <diagonal/>
    </border>
    <border>
      <left style="medium">
        <color indexed="64"/>
      </left>
      <right style="thin">
        <color theme="3" tint="-0.249977111117893"/>
      </right>
      <top style="thin">
        <color theme="3" tint="-0.249977111117893"/>
      </top>
      <bottom style="medium">
        <color theme="3" tint="-0.249977111117893"/>
      </bottom>
      <diagonal/>
    </border>
    <border>
      <left style="thin">
        <color theme="3" tint="-0.249977111117893"/>
      </left>
      <right style="medium">
        <color indexed="64"/>
      </right>
      <top style="thin">
        <color theme="3" tint="-0.249977111117893"/>
      </top>
      <bottom style="medium">
        <color theme="3" tint="-0.249977111117893"/>
      </bottom>
      <diagonal/>
    </border>
    <border>
      <left style="medium">
        <color indexed="64"/>
      </left>
      <right style="thin">
        <color theme="3" tint="-0.249977111117893"/>
      </right>
      <top/>
      <bottom style="medium">
        <color indexed="64"/>
      </bottom>
      <diagonal/>
    </border>
    <border>
      <left style="thin">
        <color theme="3" tint="-0.249977111117893"/>
      </left>
      <right style="thin">
        <color theme="3" tint="-0.249977111117893"/>
      </right>
      <top/>
      <bottom style="medium">
        <color indexed="64"/>
      </bottom>
      <diagonal/>
    </border>
    <border>
      <left style="thin">
        <color theme="3" tint="-0.249977111117893"/>
      </left>
      <right style="medium">
        <color indexed="64"/>
      </right>
      <top/>
      <bottom style="medium">
        <color indexed="64"/>
      </bottom>
      <diagonal/>
    </border>
    <border>
      <left style="thin">
        <color theme="3" tint="-0.249977111117893"/>
      </left>
      <right style="medium">
        <color indexed="64"/>
      </right>
      <top/>
      <bottom style="thin">
        <color theme="3" tint="-0.249977111117893"/>
      </bottom>
      <diagonal/>
    </border>
    <border>
      <left style="thin">
        <color theme="3" tint="-0.249977111117893"/>
      </left>
      <right style="medium">
        <color indexed="64"/>
      </right>
      <top style="thin">
        <color theme="3" tint="-0.249977111117893"/>
      </top>
      <bottom/>
      <diagonal/>
    </border>
    <border>
      <left/>
      <right style="medium">
        <color indexed="64"/>
      </right>
      <top style="medium">
        <color theme="3" tint="-0.24997711111789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3" tint="-0.249977111117893"/>
      </left>
      <right/>
      <top style="medium">
        <color theme="3" tint="-0.249977111117893"/>
      </top>
      <bottom style="thin">
        <color theme="3" tint="-0.249977111117893"/>
      </bottom>
      <diagonal/>
    </border>
    <border>
      <left style="medium">
        <color indexed="64"/>
      </left>
      <right/>
      <top style="thin">
        <color theme="3" tint="-0.249977111117893"/>
      </top>
      <bottom/>
      <diagonal/>
    </border>
    <border>
      <left style="medium">
        <color indexed="64"/>
      </left>
      <right style="thin">
        <color theme="3" tint="-0.249977111117893"/>
      </right>
      <top style="medium">
        <color theme="3" tint="-0.249977111117893"/>
      </top>
      <bottom style="thin">
        <color theme="3" tint="-0.249977111117893"/>
      </bottom>
      <diagonal/>
    </border>
    <border>
      <left/>
      <right/>
      <top style="medium">
        <color theme="3" tint="-0.249977111117893"/>
      </top>
      <bottom style="thin">
        <color theme="3" tint="-0.249977111117893"/>
      </bottom>
      <diagonal/>
    </border>
    <border>
      <left/>
      <right style="medium">
        <color indexed="64"/>
      </right>
      <top style="medium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 style="thin">
        <color theme="3" tint="-0.249977111117893"/>
      </top>
      <bottom style="thin">
        <color indexed="64"/>
      </bottom>
      <diagonal/>
    </border>
    <border>
      <left/>
      <right/>
      <top style="thin">
        <color theme="3" tint="-0.249977111117893"/>
      </top>
      <bottom style="thin">
        <color indexed="64"/>
      </bottom>
      <diagonal/>
    </border>
    <border>
      <left/>
      <right style="medium">
        <color indexed="64"/>
      </right>
      <top style="thin">
        <color theme="3" tint="-0.249977111117893"/>
      </top>
      <bottom style="thin">
        <color indexed="64"/>
      </bottom>
      <diagonal/>
    </border>
    <border>
      <left style="medium">
        <color indexed="64"/>
      </left>
      <right style="thin">
        <color theme="3" tint="-0.249977111117893"/>
      </right>
      <top style="thin">
        <color indexed="64"/>
      </top>
      <bottom style="medium">
        <color indexed="64"/>
      </bottom>
      <diagonal/>
    </border>
    <border>
      <left style="thin">
        <color theme="3" tint="-0.249977111117893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0" fillId="9" borderId="0" applyNumberFormat="0" applyBorder="0" applyAlignment="0" applyProtection="0"/>
    <xf numFmtId="0" fontId="9" fillId="8" borderId="0" applyNumberFormat="0" applyBorder="0" applyAlignment="0" applyProtection="0"/>
    <xf numFmtId="0" fontId="9" fillId="12" borderId="0" applyNumberFormat="0" applyBorder="0" applyAlignment="0" applyProtection="0"/>
    <xf numFmtId="0" fontId="11" fillId="10" borderId="3" applyBorder="0">
      <alignment horizontal="center"/>
    </xf>
  </cellStyleXfs>
  <cellXfs count="43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9" fillId="8" borderId="5" xfId="2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9" fillId="8" borderId="59" xfId="2" applyBorder="1" applyAlignment="1">
      <alignment horizontal="center" vertical="center"/>
    </xf>
    <xf numFmtId="0" fontId="9" fillId="12" borderId="59" xfId="3" applyBorder="1" applyAlignment="1">
      <alignment horizontal="center" vertical="center"/>
    </xf>
    <xf numFmtId="0" fontId="10" fillId="9" borderId="59" xfId="1" applyBorder="1" applyAlignment="1">
      <alignment horizontal="center" vertical="center"/>
    </xf>
    <xf numFmtId="0" fontId="11" fillId="10" borderId="60" xfId="4" applyBorder="1" applyAlignment="1">
      <alignment horizontal="center" vertical="center"/>
    </xf>
    <xf numFmtId="0" fontId="0" fillId="0" borderId="61" xfId="0" applyBorder="1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13" fillId="8" borderId="61" xfId="2" applyNumberFormat="1" applyFont="1" applyBorder="1" applyAlignment="1">
      <alignment horizontal="center" vertical="center"/>
    </xf>
    <xf numFmtId="166" fontId="13" fillId="8" borderId="61" xfId="2" applyNumberFormat="1" applyFont="1" applyBorder="1" applyAlignment="1">
      <alignment horizontal="center" vertical="center"/>
    </xf>
    <xf numFmtId="1" fontId="13" fillId="8" borderId="61" xfId="2" applyNumberFormat="1" applyFont="1" applyBorder="1" applyAlignment="1">
      <alignment horizontal="center" vertical="center"/>
    </xf>
    <xf numFmtId="166" fontId="13" fillId="8" borderId="62" xfId="2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" fontId="13" fillId="8" borderId="5" xfId="2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3" fillId="9" borderId="5" xfId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165" fontId="13" fillId="9" borderId="5" xfId="1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8" borderId="5" xfId="2" applyFont="1" applyBorder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8" borderId="5" xfId="2" applyFont="1" applyBorder="1" applyAlignment="1">
      <alignment horizontal="center"/>
    </xf>
    <xf numFmtId="0" fontId="13" fillId="0" borderId="5" xfId="0" applyFont="1" applyBorder="1"/>
    <xf numFmtId="0" fontId="20" fillId="0" borderId="5" xfId="0" applyFont="1" applyBorder="1" applyAlignment="1">
      <alignment horizontal="center"/>
    </xf>
    <xf numFmtId="2" fontId="13" fillId="8" borderId="5" xfId="2" applyNumberFormat="1" applyFont="1" applyBorder="1" applyAlignment="1">
      <alignment horizontal="center"/>
    </xf>
    <xf numFmtId="2" fontId="13" fillId="8" borderId="5" xfId="2" applyNumberFormat="1" applyFont="1" applyBorder="1" applyAlignment="1">
      <alignment horizontal="center" vertical="center"/>
    </xf>
    <xf numFmtId="166" fontId="13" fillId="8" borderId="5" xfId="2" applyNumberFormat="1" applyFont="1" applyBorder="1" applyAlignment="1">
      <alignment horizontal="center" vertical="center"/>
    </xf>
    <xf numFmtId="2" fontId="13" fillId="9" borderId="5" xfId="1" applyNumberFormat="1" applyFont="1" applyBorder="1" applyAlignment="1">
      <alignment horizontal="center" vertical="center"/>
    </xf>
    <xf numFmtId="0" fontId="14" fillId="2" borderId="0" xfId="2" applyFont="1" applyFill="1" applyAlignment="1">
      <alignment horizontal="left"/>
    </xf>
    <xf numFmtId="0" fontId="13" fillId="2" borderId="0" xfId="0" applyFont="1" applyFill="1" applyAlignment="1">
      <alignment horizontal="left" vertical="center"/>
    </xf>
    <xf numFmtId="0" fontId="14" fillId="2" borderId="0" xfId="2" applyFont="1" applyFill="1" applyBorder="1" applyAlignment="1">
      <alignment horizontal="left"/>
    </xf>
    <xf numFmtId="0" fontId="14" fillId="2" borderId="0" xfId="1" applyFont="1" applyFill="1" applyBorder="1" applyAlignment="1">
      <alignment horizontal="left"/>
    </xf>
    <xf numFmtId="0" fontId="13" fillId="2" borderId="0" xfId="0" applyFont="1" applyFill="1"/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66" fontId="18" fillId="8" borderId="9" xfId="2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2" fontId="13" fillId="9" borderId="6" xfId="1" applyNumberFormat="1" applyFont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20" fillId="0" borderId="4" xfId="0" applyFont="1" applyBorder="1" applyAlignment="1">
      <alignment horizontal="center" vertical="center"/>
    </xf>
    <xf numFmtId="167" fontId="13" fillId="9" borderId="6" xfId="1" applyNumberFormat="1" applyFont="1" applyBorder="1" applyAlignment="1">
      <alignment horizontal="center" vertical="center"/>
    </xf>
    <xf numFmtId="0" fontId="13" fillId="9" borderId="6" xfId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9" borderId="12" xfId="1" applyFont="1" applyBorder="1" applyAlignment="1">
      <alignment horizontal="center" vertical="center"/>
    </xf>
    <xf numFmtId="1" fontId="18" fillId="8" borderId="9" xfId="2" applyNumberFormat="1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165" fontId="13" fillId="10" borderId="25" xfId="4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1" fontId="18" fillId="8" borderId="8" xfId="2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3" fillId="8" borderId="11" xfId="2" applyFont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5" fontId="13" fillId="8" borderId="5" xfId="2" applyNumberFormat="1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2" fontId="13" fillId="8" borderId="45" xfId="2" applyNumberFormat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3" fillId="7" borderId="38" xfId="0" applyFont="1" applyFill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20" xfId="0" applyFont="1" applyBorder="1"/>
    <xf numFmtId="0" fontId="14" fillId="2" borderId="0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2" borderId="0" xfId="3" applyFont="1" applyFill="1" applyBorder="1" applyAlignment="1">
      <alignment horizontal="left" vertical="center" wrapText="1"/>
    </xf>
    <xf numFmtId="0" fontId="7" fillId="0" borderId="0" xfId="0" applyFont="1" applyAlignment="1">
      <alignment horizontal="center"/>
    </xf>
    <xf numFmtId="166" fontId="13" fillId="8" borderId="23" xfId="2" applyNumberFormat="1" applyFont="1" applyBorder="1" applyAlignment="1">
      <alignment horizontal="center" vertical="center"/>
    </xf>
    <xf numFmtId="0" fontId="29" fillId="2" borderId="61" xfId="2" applyFont="1" applyFill="1" applyBorder="1" applyAlignment="1">
      <alignment horizontal="center" vertical="center" wrapText="1"/>
    </xf>
    <xf numFmtId="0" fontId="29" fillId="2" borderId="62" xfId="2" applyFont="1" applyFill="1" applyBorder="1" applyAlignment="1">
      <alignment horizontal="center" vertical="center"/>
    </xf>
    <xf numFmtId="2" fontId="29" fillId="2" borderId="66" xfId="3" applyNumberFormat="1" applyFont="1" applyFill="1" applyBorder="1" applyAlignment="1">
      <alignment horizontal="center" vertical="center" wrapText="1"/>
    </xf>
    <xf numFmtId="0" fontId="18" fillId="0" borderId="67" xfId="0" applyFont="1" applyBorder="1" applyAlignment="1">
      <alignment horizontal="center" vertical="center"/>
    </xf>
    <xf numFmtId="0" fontId="13" fillId="0" borderId="68" xfId="0" applyFont="1" applyBorder="1" applyAlignment="1">
      <alignment horizontal="center" vertical="center"/>
    </xf>
    <xf numFmtId="2" fontId="18" fillId="8" borderId="69" xfId="2" applyNumberFormat="1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" fontId="18" fillId="8" borderId="17" xfId="2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2" fontId="13" fillId="9" borderId="11" xfId="1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3" fillId="12" borderId="72" xfId="3" applyFont="1" applyBorder="1" applyAlignment="1">
      <alignment horizontal="center" vertical="center"/>
    </xf>
    <xf numFmtId="2" fontId="29" fillId="2" borderId="76" xfId="3" applyNumberFormat="1" applyFont="1" applyFill="1" applyBorder="1" applyAlignment="1">
      <alignment horizontal="center" vertical="center" wrapText="1"/>
    </xf>
    <xf numFmtId="2" fontId="13" fillId="12" borderId="76" xfId="3" applyNumberFormat="1" applyFont="1" applyBorder="1" applyAlignment="1">
      <alignment horizontal="center" vertical="center"/>
    </xf>
    <xf numFmtId="2" fontId="13" fillId="8" borderId="11" xfId="2" applyNumberFormat="1" applyFont="1" applyBorder="1" applyAlignment="1">
      <alignment horizontal="center" vertical="center"/>
    </xf>
    <xf numFmtId="165" fontId="13" fillId="8" borderId="23" xfId="2" applyNumberFormat="1" applyFont="1" applyBorder="1" applyAlignment="1">
      <alignment horizontal="center" vertical="center"/>
    </xf>
    <xf numFmtId="164" fontId="18" fillId="8" borderId="61" xfId="2" applyNumberFormat="1" applyFont="1" applyBorder="1" applyAlignment="1">
      <alignment horizontal="center" vertical="center"/>
    </xf>
    <xf numFmtId="0" fontId="29" fillId="2" borderId="5" xfId="3" applyFont="1" applyFill="1" applyBorder="1" applyAlignment="1">
      <alignment horizontal="center" vertical="center" wrapText="1"/>
    </xf>
    <xf numFmtId="0" fontId="9" fillId="12" borderId="5" xfId="3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2" fontId="9" fillId="8" borderId="11" xfId="2" applyNumberFormat="1" applyBorder="1" applyAlignment="1">
      <alignment horizontal="center" vertical="center"/>
    </xf>
    <xf numFmtId="2" fontId="9" fillId="8" borderId="12" xfId="2" applyNumberFormat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2" fontId="18" fillId="8" borderId="79" xfId="2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9" fillId="2" borderId="5" xfId="2" applyFont="1" applyFill="1" applyBorder="1" applyAlignment="1">
      <alignment horizontal="center" vertical="center" wrapText="1"/>
    </xf>
    <xf numFmtId="2" fontId="9" fillId="8" borderId="5" xfId="2" applyNumberFormat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2" fontId="13" fillId="12" borderId="62" xfId="3" applyNumberFormat="1" applyFont="1" applyBorder="1" applyAlignment="1">
      <alignment horizontal="center" vertical="center"/>
    </xf>
    <xf numFmtId="2" fontId="9" fillId="8" borderId="66" xfId="2" applyNumberFormat="1" applyBorder="1" applyAlignment="1">
      <alignment horizontal="center" vertical="center"/>
    </xf>
    <xf numFmtId="2" fontId="9" fillId="12" borderId="61" xfId="3" applyNumberFormat="1" applyBorder="1" applyAlignment="1">
      <alignment horizontal="center" vertical="center"/>
    </xf>
    <xf numFmtId="0" fontId="13" fillId="8" borderId="61" xfId="2" applyFont="1" applyBorder="1" applyAlignment="1">
      <alignment horizontal="center" vertical="center"/>
    </xf>
    <xf numFmtId="0" fontId="18" fillId="0" borderId="61" xfId="0" applyFont="1" applyBorder="1" applyAlignment="1">
      <alignment horizontal="center" vertical="center" wrapText="1"/>
    </xf>
    <xf numFmtId="2" fontId="18" fillId="8" borderId="61" xfId="2" applyNumberFormat="1" applyFont="1" applyBorder="1" applyAlignment="1">
      <alignment horizontal="center" vertical="center"/>
    </xf>
    <xf numFmtId="0" fontId="18" fillId="0" borderId="93" xfId="0" applyFont="1" applyBorder="1" applyAlignment="1">
      <alignment horizontal="center"/>
    </xf>
    <xf numFmtId="0" fontId="18" fillId="0" borderId="94" xfId="0" applyFont="1" applyBorder="1" applyAlignment="1">
      <alignment horizontal="center"/>
    </xf>
    <xf numFmtId="0" fontId="18" fillId="0" borderId="95" xfId="0" applyFont="1" applyBorder="1" applyAlignment="1">
      <alignment horizontal="center"/>
    </xf>
    <xf numFmtId="17" fontId="13" fillId="14" borderId="16" xfId="0" applyNumberFormat="1" applyFont="1" applyFill="1" applyBorder="1"/>
    <xf numFmtId="0" fontId="13" fillId="14" borderId="17" xfId="0" applyFont="1" applyFill="1" applyBorder="1"/>
    <xf numFmtId="0" fontId="13" fillId="14" borderId="18" xfId="0" applyFont="1" applyFill="1" applyBorder="1"/>
    <xf numFmtId="0" fontId="13" fillId="14" borderId="4" xfId="0" applyFont="1" applyFill="1" applyBorder="1"/>
    <xf numFmtId="0" fontId="13" fillId="14" borderId="5" xfId="0" applyFont="1" applyFill="1" applyBorder="1"/>
    <xf numFmtId="0" fontId="13" fillId="14" borderId="6" xfId="0" applyFont="1" applyFill="1" applyBorder="1"/>
    <xf numFmtId="0" fontId="13" fillId="14" borderId="10" xfId="0" applyFont="1" applyFill="1" applyBorder="1"/>
    <xf numFmtId="0" fontId="13" fillId="14" borderId="11" xfId="0" applyFont="1" applyFill="1" applyBorder="1"/>
    <xf numFmtId="0" fontId="13" fillId="14" borderId="12" xfId="0" applyFont="1" applyFill="1" applyBorder="1"/>
    <xf numFmtId="0" fontId="0" fillId="2" borderId="3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2" fontId="0" fillId="2" borderId="5" xfId="2" applyNumberFormat="1" applyFont="1" applyFill="1" applyBorder="1" applyAlignment="1">
      <alignment horizontal="center" vertical="center"/>
    </xf>
    <xf numFmtId="1" fontId="0" fillId="2" borderId="5" xfId="2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13" xfId="0" applyFill="1" applyBorder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0" fillId="2" borderId="5" xfId="1" applyFont="1" applyFill="1" applyBorder="1" applyAlignment="1">
      <alignment horizontal="center" vertical="center"/>
    </xf>
    <xf numFmtId="0" fontId="41" fillId="2" borderId="5" xfId="0" applyFont="1" applyFill="1" applyBorder="1" applyAlignment="1">
      <alignment horizontal="center" vertical="center"/>
    </xf>
    <xf numFmtId="0" fontId="41" fillId="2" borderId="26" xfId="2" applyFont="1" applyFill="1" applyBorder="1" applyAlignment="1">
      <alignment vertical="center"/>
    </xf>
    <xf numFmtId="0" fontId="41" fillId="2" borderId="0" xfId="2" applyFont="1" applyFill="1" applyBorder="1" applyAlignment="1">
      <alignment horizontal="center" vertical="center"/>
    </xf>
    <xf numFmtId="0" fontId="41" fillId="2" borderId="13" xfId="2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65" fontId="1" fillId="2" borderId="11" xfId="2" applyNumberFormat="1" applyFont="1" applyFill="1" applyBorder="1" applyAlignment="1">
      <alignment horizontal="center" vertical="center"/>
    </xf>
    <xf numFmtId="0" fontId="41" fillId="2" borderId="11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17" fontId="13" fillId="14" borderId="4" xfId="0" applyNumberFormat="1" applyFont="1" applyFill="1" applyBorder="1"/>
    <xf numFmtId="0" fontId="18" fillId="0" borderId="61" xfId="0" applyFont="1" applyBorder="1" applyAlignment="1">
      <alignment horizontal="center" vertical="center"/>
    </xf>
    <xf numFmtId="0" fontId="29" fillId="2" borderId="65" xfId="3" applyFont="1" applyFill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/>
    </xf>
    <xf numFmtId="0" fontId="29" fillId="2" borderId="61" xfId="3" applyFont="1" applyFill="1" applyBorder="1" applyAlignment="1">
      <alignment horizontal="center" vertical="center" wrapText="1"/>
    </xf>
    <xf numFmtId="0" fontId="29" fillId="2" borderId="61" xfId="3" applyFont="1" applyFill="1" applyBorder="1" applyAlignment="1">
      <alignment horizontal="center" vertical="center"/>
    </xf>
    <xf numFmtId="0" fontId="13" fillId="12" borderId="65" xfId="3" applyFont="1" applyBorder="1" applyAlignment="1">
      <alignment horizontal="center" vertical="center"/>
    </xf>
    <xf numFmtId="0" fontId="13" fillId="12" borderId="61" xfId="3" applyFont="1" applyBorder="1" applyAlignment="1">
      <alignment horizontal="center" vertical="center"/>
    </xf>
    <xf numFmtId="0" fontId="9" fillId="12" borderId="61" xfId="3" applyBorder="1" applyAlignment="1">
      <alignment horizontal="center" vertical="center"/>
    </xf>
    <xf numFmtId="0" fontId="9" fillId="15" borderId="5" xfId="2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5" fillId="2" borderId="0" xfId="0" applyFont="1" applyFill="1"/>
    <xf numFmtId="168" fontId="0" fillId="14" borderId="5" xfId="0" applyNumberForma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2" fillId="2" borderId="0" xfId="0" applyFont="1" applyFill="1" applyAlignment="1">
      <alignment vertical="center"/>
    </xf>
    <xf numFmtId="0" fontId="12" fillId="16" borderId="0" xfId="0" applyFont="1" applyFill="1" applyAlignment="1">
      <alignment horizontal="center" vertical="center"/>
    </xf>
    <xf numFmtId="0" fontId="50" fillId="16" borderId="0" xfId="0" applyFont="1" applyFill="1" applyAlignment="1">
      <alignment vertical="center"/>
    </xf>
    <xf numFmtId="0" fontId="12" fillId="16" borderId="0" xfId="0" applyFont="1" applyFill="1" applyAlignment="1">
      <alignment vertical="center"/>
    </xf>
    <xf numFmtId="0" fontId="49" fillId="16" borderId="0" xfId="0" applyFont="1" applyFill="1" applyAlignment="1">
      <alignment vertical="center"/>
    </xf>
    <xf numFmtId="0" fontId="18" fillId="16" borderId="0" xfId="0" applyFont="1" applyFill="1" applyAlignment="1">
      <alignment vertical="center"/>
    </xf>
    <xf numFmtId="0" fontId="29" fillId="2" borderId="76" xfId="3" applyFont="1" applyFill="1" applyBorder="1" applyAlignment="1">
      <alignment horizontal="center" vertical="center"/>
    </xf>
    <xf numFmtId="0" fontId="13" fillId="12" borderId="76" xfId="3" applyFont="1" applyBorder="1" applyAlignment="1">
      <alignment horizontal="center" vertical="center"/>
    </xf>
    <xf numFmtId="0" fontId="29" fillId="2" borderId="76" xfId="3" applyFont="1" applyFill="1" applyBorder="1" applyAlignment="1">
      <alignment horizontal="center" vertical="center" wrapText="1"/>
    </xf>
    <xf numFmtId="0" fontId="29" fillId="2" borderId="8" xfId="3" applyFont="1" applyFill="1" applyBorder="1" applyAlignment="1">
      <alignment horizontal="center" vertical="center" wrapText="1"/>
    </xf>
    <xf numFmtId="0" fontId="13" fillId="12" borderId="8" xfId="3" applyFont="1" applyBorder="1" applyAlignment="1">
      <alignment horizontal="center" vertical="center"/>
    </xf>
    <xf numFmtId="2" fontId="36" fillId="8" borderId="105" xfId="2" applyNumberFormat="1" applyFont="1" applyBorder="1" applyAlignment="1">
      <alignment horizontal="center" vertical="center"/>
    </xf>
    <xf numFmtId="0" fontId="13" fillId="0" borderId="104" xfId="0" applyFont="1" applyBorder="1" applyAlignment="1">
      <alignment horizontal="center" vertical="center" wrapText="1"/>
    </xf>
    <xf numFmtId="0" fontId="32" fillId="2" borderId="113" xfId="2" applyFont="1" applyFill="1" applyBorder="1" applyAlignment="1">
      <alignment horizontal="center" vertical="center" wrapText="1"/>
    </xf>
    <xf numFmtId="2" fontId="18" fillId="8" borderId="113" xfId="2" applyNumberFormat="1" applyFont="1" applyBorder="1" applyAlignment="1">
      <alignment horizontal="center" vertical="center"/>
    </xf>
    <xf numFmtId="0" fontId="0" fillId="0" borderId="13" xfId="0" applyBorder="1"/>
    <xf numFmtId="0" fontId="9" fillId="8" borderId="118" xfId="2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33" fillId="0" borderId="0" xfId="0" applyFont="1" applyAlignment="1">
      <alignment vertical="center" wrapText="1"/>
    </xf>
    <xf numFmtId="0" fontId="9" fillId="8" borderId="98" xfId="2" applyBorder="1" applyAlignment="1">
      <alignment horizontal="center" vertical="center"/>
    </xf>
    <xf numFmtId="0" fontId="9" fillId="12" borderId="98" xfId="3" applyBorder="1" applyAlignment="1">
      <alignment horizontal="center" vertical="center"/>
    </xf>
    <xf numFmtId="0" fontId="10" fillId="9" borderId="98" xfId="1" applyBorder="1" applyAlignment="1">
      <alignment horizontal="center" vertical="center"/>
    </xf>
    <xf numFmtId="0" fontId="11" fillId="10" borderId="98" xfId="4" applyBorder="1" applyAlignment="1">
      <alignment horizontal="center" vertical="center"/>
    </xf>
    <xf numFmtId="2" fontId="13" fillId="8" borderId="2" xfId="2" applyNumberFormat="1" applyFont="1" applyBorder="1" applyAlignment="1">
      <alignment horizontal="center" vertical="center"/>
    </xf>
    <xf numFmtId="0" fontId="13" fillId="0" borderId="94" xfId="0" applyFont="1" applyBorder="1" applyAlignment="1">
      <alignment horizontal="center" vertical="center"/>
    </xf>
    <xf numFmtId="0" fontId="0" fillId="0" borderId="14" xfId="0" applyBorder="1"/>
    <xf numFmtId="0" fontId="13" fillId="0" borderId="3" xfId="0" applyFont="1" applyBorder="1"/>
    <xf numFmtId="0" fontId="0" fillId="0" borderId="3" xfId="0" applyBorder="1"/>
    <xf numFmtId="0" fontId="0" fillId="0" borderId="15" xfId="0" applyBorder="1"/>
    <xf numFmtId="0" fontId="13" fillId="0" borderId="14" xfId="0" applyFont="1" applyBorder="1" applyAlignment="1">
      <alignment horizontal="center" vertical="center"/>
    </xf>
    <xf numFmtId="0" fontId="50" fillId="16" borderId="15" xfId="0" applyFont="1" applyFill="1" applyBorder="1" applyAlignment="1">
      <alignment vertical="center"/>
    </xf>
    <xf numFmtId="0" fontId="0" fillId="0" borderId="20" xfId="0" applyBorder="1"/>
    <xf numFmtId="0" fontId="13" fillId="0" borderId="20" xfId="0" applyFont="1" applyBorder="1" applyAlignment="1">
      <alignment horizontal="center" vertical="center"/>
    </xf>
    <xf numFmtId="0" fontId="51" fillId="0" borderId="0" xfId="0" applyFont="1" applyAlignment="1">
      <alignment vertical="center" wrapText="1"/>
    </xf>
    <xf numFmtId="0" fontId="0" fillId="0" borderId="13" xfId="0" applyBorder="1" applyAlignment="1">
      <alignment horizontal="center"/>
    </xf>
    <xf numFmtId="0" fontId="0" fillId="0" borderId="19" xfId="0" applyBorder="1"/>
    <xf numFmtId="0" fontId="0" fillId="0" borderId="3" xfId="0" applyBorder="1" applyAlignment="1">
      <alignment horizontal="center"/>
    </xf>
    <xf numFmtId="0" fontId="13" fillId="0" borderId="94" xfId="0" applyFont="1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2" fillId="0" borderId="0" xfId="0" applyFont="1"/>
    <xf numFmtId="0" fontId="39" fillId="0" borderId="0" xfId="0" applyFont="1"/>
    <xf numFmtId="0" fontId="53" fillId="0" borderId="0" xfId="0" applyFont="1"/>
    <xf numFmtId="0" fontId="0" fillId="0" borderId="122" xfId="0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9" fillId="0" borderId="0" xfId="0" applyFont="1" applyAlignment="1">
      <alignment horizontal="left"/>
    </xf>
    <xf numFmtId="0" fontId="0" fillId="0" borderId="104" xfId="0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wrapText="1"/>
    </xf>
    <xf numFmtId="0" fontId="53" fillId="0" borderId="0" xfId="0" applyFont="1" applyAlignment="1">
      <alignment vertical="center"/>
    </xf>
    <xf numFmtId="0" fontId="53" fillId="0" borderId="0" xfId="0" applyFont="1" applyAlignment="1">
      <alignment wrapText="1"/>
    </xf>
    <xf numFmtId="0" fontId="0" fillId="0" borderId="108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42" fillId="0" borderId="0" xfId="0" applyFont="1" applyAlignment="1">
      <alignment horizontal="left"/>
    </xf>
    <xf numFmtId="0" fontId="53" fillId="0" borderId="0" xfId="0" applyFont="1" applyAlignment="1">
      <alignment horizontal="left"/>
    </xf>
    <xf numFmtId="0" fontId="55" fillId="0" borderId="0" xfId="0" applyFont="1"/>
    <xf numFmtId="0" fontId="0" fillId="0" borderId="118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56" fillId="0" borderId="0" xfId="0" applyFont="1" applyAlignment="1">
      <alignment vertical="center" wrapText="1"/>
    </xf>
    <xf numFmtId="0" fontId="6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wrapText="1"/>
    </xf>
    <xf numFmtId="0" fontId="37" fillId="0" borderId="0" xfId="0" applyFont="1" applyAlignment="1">
      <alignment wrapText="1"/>
    </xf>
    <xf numFmtId="0" fontId="28" fillId="0" borderId="0" xfId="0" applyFont="1" applyAlignment="1">
      <alignment horizontal="center" vertical="center"/>
    </xf>
    <xf numFmtId="0" fontId="1" fillId="0" borderId="90" xfId="0" applyFont="1" applyBorder="1" applyAlignment="1">
      <alignment horizontal="center" vertical="center"/>
    </xf>
    <xf numFmtId="0" fontId="1" fillId="0" borderId="91" xfId="0" applyFont="1" applyBorder="1" applyAlignment="1">
      <alignment horizontal="center" vertical="center"/>
    </xf>
    <xf numFmtId="0" fontId="1" fillId="0" borderId="92" xfId="0" applyFont="1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123" xfId="0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7" fillId="0" borderId="119" xfId="0" applyFont="1" applyBorder="1" applyAlignment="1">
      <alignment horizontal="center" wrapText="1"/>
    </xf>
    <xf numFmtId="0" fontId="37" fillId="0" borderId="97" xfId="0" applyFont="1" applyBorder="1" applyAlignment="1">
      <alignment horizontal="center" wrapText="1"/>
    </xf>
    <xf numFmtId="0" fontId="37" fillId="0" borderId="54" xfId="0" applyFont="1" applyBorder="1" applyAlignment="1">
      <alignment horizontal="center" wrapText="1"/>
    </xf>
    <xf numFmtId="0" fontId="0" fillId="0" borderId="27" xfId="0" quotePrefix="1" applyBorder="1" applyAlignment="1">
      <alignment horizontal="center" vertical="center" wrapText="1"/>
    </xf>
    <xf numFmtId="0" fontId="0" fillId="0" borderId="28" xfId="0" quotePrefix="1" applyBorder="1" applyAlignment="1">
      <alignment horizontal="center" vertical="center" wrapText="1"/>
    </xf>
    <xf numFmtId="0" fontId="0" fillId="0" borderId="132" xfId="0" quotePrefix="1" applyBorder="1" applyAlignment="1">
      <alignment horizontal="center" vertical="center" wrapText="1"/>
    </xf>
    <xf numFmtId="0" fontId="0" fillId="0" borderId="26" xfId="0" quotePrefix="1" applyBorder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133" xfId="0" quotePrefix="1" applyBorder="1" applyAlignment="1">
      <alignment horizontal="center" vertical="center" wrapText="1"/>
    </xf>
    <xf numFmtId="0" fontId="0" fillId="0" borderId="134" xfId="0" quotePrefix="1" applyBorder="1" applyAlignment="1">
      <alignment horizontal="center" vertical="center" wrapText="1"/>
    </xf>
    <xf numFmtId="0" fontId="0" fillId="0" borderId="96" xfId="0" quotePrefix="1" applyBorder="1" applyAlignment="1">
      <alignment horizontal="center" vertical="center" wrapText="1"/>
    </xf>
    <xf numFmtId="0" fontId="0" fillId="0" borderId="135" xfId="0" quotePrefix="1" applyBorder="1" applyAlignment="1">
      <alignment horizontal="center" vertical="center" wrapText="1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31" xfId="0" applyBorder="1" applyAlignment="1">
      <alignment horizontal="center" vertical="center"/>
    </xf>
    <xf numFmtId="0" fontId="13" fillId="0" borderId="10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0" fontId="13" fillId="0" borderId="109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0" fontId="13" fillId="0" borderId="107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0" fontId="13" fillId="0" borderId="71" xfId="0" applyFont="1" applyBorder="1" applyAlignment="1">
      <alignment horizontal="center" vertical="center"/>
    </xf>
    <xf numFmtId="0" fontId="13" fillId="0" borderId="61" xfId="0" applyFont="1" applyBorder="1" applyAlignment="1">
      <alignment horizontal="center" vertical="center"/>
    </xf>
    <xf numFmtId="0" fontId="13" fillId="0" borderId="105" xfId="0" applyFont="1" applyBorder="1" applyAlignment="1">
      <alignment horizontal="center" vertical="center"/>
    </xf>
    <xf numFmtId="0" fontId="20" fillId="0" borderId="104" xfId="0" applyFont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13" fillId="0" borderId="104" xfId="0" applyFont="1" applyBorder="1" applyAlignment="1">
      <alignment horizontal="center" vertical="center"/>
    </xf>
    <xf numFmtId="0" fontId="29" fillId="2" borderId="88" xfId="3" applyFont="1" applyFill="1" applyBorder="1" applyAlignment="1">
      <alignment horizontal="center" vertical="center" wrapText="1"/>
    </xf>
    <xf numFmtId="0" fontId="29" fillId="2" borderId="65" xfId="3" applyFont="1" applyFill="1" applyBorder="1" applyAlignment="1">
      <alignment horizontal="center" vertical="center" wrapText="1"/>
    </xf>
    <xf numFmtId="0" fontId="29" fillId="2" borderId="61" xfId="3" applyFont="1" applyFill="1" applyBorder="1" applyAlignment="1">
      <alignment horizontal="center" vertical="center" wrapText="1"/>
    </xf>
    <xf numFmtId="0" fontId="29" fillId="2" borderId="61" xfId="3" applyFont="1" applyFill="1" applyBorder="1" applyAlignment="1">
      <alignment horizontal="center" vertical="center"/>
    </xf>
    <xf numFmtId="0" fontId="18" fillId="0" borderId="108" xfId="0" applyFont="1" applyBorder="1" applyAlignment="1">
      <alignment horizontal="center" vertical="center"/>
    </xf>
    <xf numFmtId="0" fontId="18" fillId="0" borderId="66" xfId="0" applyFont="1" applyBorder="1" applyAlignment="1">
      <alignment horizontal="center" vertical="center"/>
    </xf>
    <xf numFmtId="0" fontId="18" fillId="2" borderId="99" xfId="0" applyFont="1" applyFill="1" applyBorder="1" applyAlignment="1">
      <alignment horizontal="center" vertical="center"/>
    </xf>
    <xf numFmtId="0" fontId="18" fillId="2" borderId="100" xfId="0" applyFont="1" applyFill="1" applyBorder="1" applyAlignment="1">
      <alignment horizontal="center" vertical="center"/>
    </xf>
    <xf numFmtId="0" fontId="18" fillId="2" borderId="101" xfId="0" applyFont="1" applyFill="1" applyBorder="1" applyAlignment="1">
      <alignment horizontal="center" vertical="center"/>
    </xf>
    <xf numFmtId="0" fontId="19" fillId="0" borderId="102" xfId="0" applyFont="1" applyBorder="1" applyAlignment="1">
      <alignment horizontal="center" vertical="center"/>
    </xf>
    <xf numFmtId="0" fontId="19" fillId="0" borderId="72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0" fontId="19" fillId="0" borderId="104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13" fillId="0" borderId="115" xfId="0" applyFont="1" applyBorder="1" applyAlignment="1">
      <alignment horizontal="center" vertical="center"/>
    </xf>
    <xf numFmtId="0" fontId="13" fillId="12" borderId="72" xfId="3" applyFont="1" applyBorder="1" applyAlignment="1">
      <alignment horizontal="center" vertical="center"/>
    </xf>
    <xf numFmtId="0" fontId="13" fillId="12" borderId="103" xfId="3" applyFont="1" applyBorder="1" applyAlignment="1">
      <alignment horizontal="center" vertical="center"/>
    </xf>
    <xf numFmtId="0" fontId="13" fillId="2" borderId="102" xfId="0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horizontal="center" vertical="center"/>
    </xf>
    <xf numFmtId="0" fontId="13" fillId="12" borderId="61" xfId="3" applyFont="1" applyBorder="1" applyAlignment="1">
      <alignment horizontal="center" vertical="center"/>
    </xf>
    <xf numFmtId="0" fontId="13" fillId="12" borderId="105" xfId="3" applyFont="1" applyBorder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0" fontId="13" fillId="0" borderId="102" xfId="0" applyFont="1" applyBorder="1" applyAlignment="1">
      <alignment horizontal="center" vertical="center"/>
    </xf>
    <xf numFmtId="0" fontId="13" fillId="0" borderId="72" xfId="0" applyFont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3" fillId="12" borderId="61" xfId="3" applyFont="1" applyBorder="1" applyAlignment="1">
      <alignment horizontal="center" vertical="center" wrapText="1"/>
    </xf>
    <xf numFmtId="0" fontId="13" fillId="12" borderId="105" xfId="3" applyFont="1" applyBorder="1" applyAlignment="1">
      <alignment horizontal="center" vertical="center" wrapText="1"/>
    </xf>
    <xf numFmtId="0" fontId="13" fillId="0" borderId="73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104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12" borderId="65" xfId="3" applyFont="1" applyBorder="1" applyAlignment="1">
      <alignment horizontal="center" vertical="center"/>
    </xf>
    <xf numFmtId="0" fontId="13" fillId="12" borderId="115" xfId="3" applyFont="1" applyBorder="1" applyAlignment="1">
      <alignment horizontal="center" vertical="center"/>
    </xf>
    <xf numFmtId="0" fontId="51" fillId="0" borderId="22" xfId="0" applyFont="1" applyBorder="1" applyAlignment="1">
      <alignment horizontal="center"/>
    </xf>
    <xf numFmtId="0" fontId="34" fillId="11" borderId="3" xfId="0" applyFont="1" applyFill="1" applyBorder="1" applyAlignment="1">
      <alignment horizontal="center" vertical="center" wrapText="1"/>
    </xf>
    <xf numFmtId="0" fontId="34" fillId="11" borderId="0" xfId="0" applyFont="1" applyFill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22" fillId="0" borderId="104" xfId="0" applyFont="1" applyBorder="1" applyAlignment="1">
      <alignment horizontal="center" vertical="center"/>
    </xf>
    <xf numFmtId="0" fontId="22" fillId="0" borderId="61" xfId="0" applyFont="1" applyBorder="1" applyAlignment="1">
      <alignment horizontal="center" vertical="center"/>
    </xf>
    <xf numFmtId="0" fontId="13" fillId="0" borderId="121" xfId="0" applyFont="1" applyBorder="1" applyAlignment="1">
      <alignment horizontal="center" vertical="center"/>
    </xf>
    <xf numFmtId="0" fontId="13" fillId="0" borderId="78" xfId="0" applyFont="1" applyBorder="1" applyAlignment="1">
      <alignment horizontal="center" vertical="center"/>
    </xf>
    <xf numFmtId="0" fontId="18" fillId="0" borderId="61" xfId="0" applyFont="1" applyBorder="1" applyAlignment="1">
      <alignment horizontal="center" vertical="center"/>
    </xf>
    <xf numFmtId="0" fontId="18" fillId="0" borderId="105" xfId="0" applyFont="1" applyBorder="1" applyAlignment="1">
      <alignment horizontal="center" vertical="center"/>
    </xf>
    <xf numFmtId="0" fontId="18" fillId="0" borderId="116" xfId="0" applyFont="1" applyBorder="1" applyAlignment="1">
      <alignment horizontal="center" vertical="center"/>
    </xf>
    <xf numFmtId="0" fontId="13" fillId="0" borderId="62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9" fillId="12" borderId="89" xfId="3" applyBorder="1" applyAlignment="1">
      <alignment horizontal="center" vertical="center"/>
    </xf>
    <xf numFmtId="0" fontId="9" fillId="12" borderId="77" xfId="3" applyBorder="1" applyAlignment="1">
      <alignment horizontal="center" vertical="center"/>
    </xf>
    <xf numFmtId="0" fontId="9" fillId="12" borderId="117" xfId="3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2" borderId="79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0" borderId="80" xfId="0" applyFont="1" applyBorder="1" applyAlignment="1">
      <alignment horizontal="center" vertical="center"/>
    </xf>
    <xf numFmtId="0" fontId="18" fillId="0" borderId="81" xfId="0" applyFont="1" applyBorder="1" applyAlignment="1">
      <alignment horizontal="center" vertical="center"/>
    </xf>
    <xf numFmtId="0" fontId="18" fillId="0" borderId="82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3" fillId="0" borderId="83" xfId="0" applyFont="1" applyBorder="1" applyAlignment="1">
      <alignment horizontal="center" vertical="center"/>
    </xf>
    <xf numFmtId="0" fontId="13" fillId="0" borderId="84" xfId="0" applyFont="1" applyBorder="1" applyAlignment="1">
      <alignment horizontal="center" vertical="center"/>
    </xf>
    <xf numFmtId="0" fontId="20" fillId="0" borderId="73" xfId="0" applyFont="1" applyBorder="1" applyAlignment="1">
      <alignment horizontal="center" vertical="center"/>
    </xf>
    <xf numFmtId="0" fontId="20" fillId="0" borderId="64" xfId="0" applyFont="1" applyBorder="1" applyAlignment="1">
      <alignment horizontal="center" vertical="center"/>
    </xf>
    <xf numFmtId="0" fontId="13" fillId="0" borderId="85" xfId="0" applyFont="1" applyBorder="1" applyAlignment="1">
      <alignment horizontal="center" vertical="center"/>
    </xf>
    <xf numFmtId="0" fontId="13" fillId="0" borderId="86" xfId="0" applyFont="1" applyBorder="1" applyAlignment="1">
      <alignment horizontal="center" vertical="center"/>
    </xf>
    <xf numFmtId="0" fontId="13" fillId="0" borderId="87" xfId="0" applyFont="1" applyBorder="1" applyAlignment="1">
      <alignment horizontal="center" vertical="center"/>
    </xf>
    <xf numFmtId="0" fontId="13" fillId="0" borderId="5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2" borderId="110" xfId="2" applyFont="1" applyFill="1" applyBorder="1" applyAlignment="1">
      <alignment horizontal="center" vertical="center"/>
    </xf>
    <xf numFmtId="0" fontId="13" fillId="2" borderId="62" xfId="2" applyFont="1" applyFill="1" applyBorder="1" applyAlignment="1">
      <alignment horizontal="center" vertical="center"/>
    </xf>
    <xf numFmtId="0" fontId="13" fillId="2" borderId="111" xfId="2" applyFont="1" applyFill="1" applyBorder="1" applyAlignment="1">
      <alignment horizontal="center" vertical="center"/>
    </xf>
    <xf numFmtId="0" fontId="13" fillId="2" borderId="104" xfId="2" applyFont="1" applyFill="1" applyBorder="1" applyAlignment="1">
      <alignment horizontal="center" vertical="center"/>
    </xf>
    <xf numFmtId="0" fontId="13" fillId="2" borderId="61" xfId="2" applyFont="1" applyFill="1" applyBorder="1" applyAlignment="1">
      <alignment horizontal="center" vertical="center"/>
    </xf>
    <xf numFmtId="0" fontId="13" fillId="2" borderId="105" xfId="2" applyFont="1" applyFill="1" applyBorder="1" applyAlignment="1">
      <alignment horizontal="center" vertical="center"/>
    </xf>
    <xf numFmtId="0" fontId="18" fillId="0" borderId="112" xfId="0" applyFont="1" applyBorder="1" applyAlignment="1">
      <alignment horizontal="center" vertical="center"/>
    </xf>
    <xf numFmtId="0" fontId="18" fillId="0" borderId="113" xfId="0" applyFont="1" applyBorder="1" applyAlignment="1">
      <alignment horizontal="center" vertical="center"/>
    </xf>
    <xf numFmtId="0" fontId="18" fillId="0" borderId="114" xfId="0" applyFont="1" applyBorder="1" applyAlignment="1">
      <alignment horizontal="center" vertical="center"/>
    </xf>
    <xf numFmtId="0" fontId="18" fillId="0" borderId="104" xfId="0" applyFont="1" applyBorder="1" applyAlignment="1">
      <alignment horizontal="center" vertical="center"/>
    </xf>
    <xf numFmtId="0" fontId="18" fillId="8" borderId="104" xfId="2" applyFont="1" applyBorder="1" applyAlignment="1">
      <alignment horizontal="center" vertical="center"/>
    </xf>
    <xf numFmtId="0" fontId="18" fillId="8" borderId="61" xfId="2" applyFont="1" applyBorder="1" applyAlignment="1">
      <alignment horizontal="center" vertical="center"/>
    </xf>
    <xf numFmtId="0" fontId="18" fillId="8" borderId="105" xfId="2" applyFont="1" applyBorder="1" applyAlignment="1">
      <alignment horizontal="center" vertical="center"/>
    </xf>
    <xf numFmtId="0" fontId="9" fillId="12" borderId="104" xfId="3" applyBorder="1" applyAlignment="1">
      <alignment horizontal="center" vertical="center"/>
    </xf>
    <xf numFmtId="0" fontId="9" fillId="12" borderId="61" xfId="3" applyBorder="1" applyAlignment="1">
      <alignment horizontal="center" vertical="center"/>
    </xf>
    <xf numFmtId="0" fontId="9" fillId="12" borderId="105" xfId="3" applyBorder="1" applyAlignment="1">
      <alignment horizontal="center" vertical="center"/>
    </xf>
    <xf numFmtId="0" fontId="36" fillId="8" borderId="66" xfId="2" applyFont="1" applyBorder="1" applyAlignment="1">
      <alignment horizontal="center" vertical="center" wrapText="1"/>
    </xf>
    <xf numFmtId="0" fontId="36" fillId="8" borderId="65" xfId="2" applyFont="1" applyBorder="1" applyAlignment="1">
      <alignment horizontal="center" vertical="center" wrapText="1"/>
    </xf>
    <xf numFmtId="0" fontId="18" fillId="0" borderId="65" xfId="0" applyFont="1" applyBorder="1" applyAlignment="1">
      <alignment horizontal="center" vertical="center"/>
    </xf>
    <xf numFmtId="0" fontId="18" fillId="0" borderId="108" xfId="0" applyFont="1" applyBorder="1" applyAlignment="1">
      <alignment horizontal="center" vertical="center" wrapText="1"/>
    </xf>
    <xf numFmtId="0" fontId="18" fillId="0" borderId="109" xfId="0" applyFont="1" applyBorder="1" applyAlignment="1">
      <alignment horizontal="center" vertical="center" wrapText="1"/>
    </xf>
    <xf numFmtId="0" fontId="13" fillId="2" borderId="61" xfId="3" applyFont="1" applyFill="1" applyBorder="1" applyAlignment="1">
      <alignment horizontal="center" vertical="center"/>
    </xf>
    <xf numFmtId="0" fontId="13" fillId="2" borderId="105" xfId="3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7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1" fillId="0" borderId="1" xfId="0" applyFont="1" applyBorder="1" applyAlignment="1">
      <alignment horizontal="center" vertical="center" wrapText="1"/>
    </xf>
    <xf numFmtId="0" fontId="51" fillId="0" borderId="79" xfId="0" applyFont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/>
    </xf>
    <xf numFmtId="0" fontId="13" fillId="12" borderId="0" xfId="3" applyFont="1" applyAlignment="1">
      <alignment horizontal="center" wrapText="1"/>
    </xf>
    <xf numFmtId="0" fontId="13" fillId="0" borderId="27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164" fontId="18" fillId="8" borderId="34" xfId="2" applyNumberFormat="1" applyFont="1" applyBorder="1" applyAlignment="1">
      <alignment horizontal="center" vertical="center"/>
    </xf>
    <xf numFmtId="164" fontId="18" fillId="8" borderId="36" xfId="2" applyNumberFormat="1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14" fillId="0" borderId="53" xfId="0" applyFont="1" applyBorder="1" applyAlignment="1">
      <alignment horizontal="center" vertical="center"/>
    </xf>
    <xf numFmtId="0" fontId="14" fillId="0" borderId="5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14" fillId="9" borderId="3" xfId="1" applyFont="1" applyBorder="1" applyAlignment="1">
      <alignment horizontal="center" vertical="center"/>
    </xf>
    <xf numFmtId="0" fontId="14" fillId="9" borderId="0" xfId="1" applyFont="1" applyBorder="1" applyAlignment="1">
      <alignment horizontal="center" vertical="center"/>
    </xf>
    <xf numFmtId="0" fontId="14" fillId="8" borderId="3" xfId="2" applyFont="1" applyBorder="1" applyAlignment="1">
      <alignment horizontal="center" vertical="center"/>
    </xf>
    <xf numFmtId="0" fontId="14" fillId="8" borderId="0" xfId="2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14" fillId="8" borderId="0" xfId="2" applyFont="1" applyAlignment="1">
      <alignment horizontal="center" vertical="center"/>
    </xf>
  </cellXfs>
  <cellStyles count="5">
    <cellStyle name="Insatisfaisant" xfId="2" builtinId="27" customBuiltin="1"/>
    <cellStyle name="NA" xfId="4" xr:uid="{00000000-0005-0000-0000-000001000000}"/>
    <cellStyle name="Neutre" xfId="3" builtinId="28" customBuiltin="1"/>
    <cellStyle name="Normal" xfId="0" builtinId="0"/>
    <cellStyle name="Satisfaisant" xfId="1" builtinId="26" customBuiltin="1"/>
  </cellStyles>
  <dxfs count="23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16" fmlaLink="$E$28" fmlaRange="Outils!$S$1:$S$2" noThreeD="1" sel="1" val="0"/>
</file>

<file path=xl/ctrlProps/ctrlProp2.xml><?xml version="1.0" encoding="utf-8"?>
<formControlPr xmlns="http://schemas.microsoft.com/office/spreadsheetml/2009/9/main" objectType="Drop" dropLines="3" dropStyle="combo" dx="16" fmlaLink="$E$43" fmlaRange="Outils!$V$1:$V$3" noThreeD="1" sel="1" val="0"/>
</file>

<file path=xl/ctrlProps/ctrlProp3.xml><?xml version="1.0" encoding="utf-8"?>
<formControlPr xmlns="http://schemas.microsoft.com/office/spreadsheetml/2009/9/main" objectType="Drop" dropLines="2" dropStyle="combo" dx="16" fmlaLink="$E$22" fmlaRange="Outils!$T$1:$T$2" noThreeD="1" sel="2" val="0"/>
</file>

<file path=xl/ctrlProps/ctrlProp4.xml><?xml version="1.0" encoding="utf-8"?>
<formControlPr xmlns="http://schemas.microsoft.com/office/spreadsheetml/2009/9/main" objectType="Drop" dropLines="2" dropStyle="combo" dx="16" fmlaLink="$E$18" fmlaRange="Outils!$T$1:$T$2" noThreeD="1" sel="2" val="0"/>
</file>

<file path=xl/ctrlProps/ctrlProp5.xml><?xml version="1.0" encoding="utf-8"?>
<formControlPr xmlns="http://schemas.microsoft.com/office/spreadsheetml/2009/9/main" objectType="Drop" dropStyle="combo" dx="16" fmlaLink="$E$53" fmlaRange="Outils!$T$1:$T$2" noThreeD="1" sel="2" val="0"/>
</file>

<file path=xl/ctrlProps/ctrlProp6.xml><?xml version="1.0" encoding="utf-8"?>
<formControlPr xmlns="http://schemas.microsoft.com/office/spreadsheetml/2009/9/main" objectType="Drop" dropLines="2" dropStyle="combo" dx="16" fmlaLink="$E$12" fmlaRange="Outils!$Y$1:$Y$2" noThreeD="1" sel="1" val="0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1371456</xdr:colOff>
      <xdr:row>24</xdr:row>
      <xdr:rowOff>160580</xdr:rowOff>
    </xdr:from>
    <xdr:ext cx="2721807" cy="238158"/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2727" y="4329168"/>
          <a:ext cx="2721807" cy="2381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27</xdr:row>
          <xdr:rowOff>7620</xdr:rowOff>
        </xdr:from>
        <xdr:to>
          <xdr:col>7</xdr:col>
          <xdr:colOff>274320</xdr:colOff>
          <xdr:row>27</xdr:row>
          <xdr:rowOff>175260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0</xdr:rowOff>
        </xdr:from>
        <xdr:to>
          <xdr:col>7</xdr:col>
          <xdr:colOff>144780</xdr:colOff>
          <xdr:row>51</xdr:row>
          <xdr:rowOff>182880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21</xdr:row>
          <xdr:rowOff>160020</xdr:rowOff>
        </xdr:from>
        <xdr:to>
          <xdr:col>7</xdr:col>
          <xdr:colOff>190500</xdr:colOff>
          <xdr:row>21</xdr:row>
          <xdr:rowOff>327660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466726</xdr:colOff>
      <xdr:row>24</xdr:row>
      <xdr:rowOff>552450</xdr:rowOff>
    </xdr:from>
    <xdr:ext cx="2552699" cy="1922355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1" y="7715250"/>
          <a:ext cx="2552699" cy="192235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17</xdr:row>
          <xdr:rowOff>30480</xdr:rowOff>
        </xdr:from>
        <xdr:to>
          <xdr:col>7</xdr:col>
          <xdr:colOff>457200</xdr:colOff>
          <xdr:row>17</xdr:row>
          <xdr:rowOff>175260</xdr:rowOff>
        </xdr:to>
        <xdr:sp macro="" textlink="">
          <xdr:nvSpPr>
            <xdr:cNvPr id="1064" name="Drop Dow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52</xdr:row>
          <xdr:rowOff>30480</xdr:rowOff>
        </xdr:from>
        <xdr:to>
          <xdr:col>7</xdr:col>
          <xdr:colOff>114300</xdr:colOff>
          <xdr:row>52</xdr:row>
          <xdr:rowOff>175260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38100</xdr:colOff>
      <xdr:row>50</xdr:row>
      <xdr:rowOff>9524</xdr:rowOff>
    </xdr:from>
    <xdr:ext cx="6057900" cy="1638533"/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4675" y="13239749"/>
          <a:ext cx="6057900" cy="1638533"/>
        </a:xfrm>
        <a:prstGeom prst="rect">
          <a:avLst/>
        </a:prstGeom>
      </xdr:spPr>
    </xdr:pic>
    <xdr:clientData/>
  </xdr:oneCellAnchor>
  <xdr:twoCellAnchor>
    <xdr:from>
      <xdr:col>7</xdr:col>
      <xdr:colOff>1140200</xdr:colOff>
      <xdr:row>41</xdr:row>
      <xdr:rowOff>107577</xdr:rowOff>
    </xdr:from>
    <xdr:to>
      <xdr:col>10</xdr:col>
      <xdr:colOff>448238</xdr:colOff>
      <xdr:row>51</xdr:row>
      <xdr:rowOff>331699</xdr:rowOff>
    </xdr:to>
    <xdr:sp macro="" textlink="">
      <xdr:nvSpPr>
        <xdr:cNvPr id="17" name="Flèche courbée vers la droit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5400000" flipV="1">
          <a:off x="6917112" y="6899183"/>
          <a:ext cx="412380" cy="2033309"/>
        </a:xfrm>
        <a:prstGeom prst="curvedRightArrow">
          <a:avLst>
            <a:gd name="adj1" fmla="val 41743"/>
            <a:gd name="adj2" fmla="val 87726"/>
            <a:gd name="adj3" fmla="val 70000"/>
          </a:avLst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oneCellAnchor>
    <xdr:from>
      <xdr:col>10</xdr:col>
      <xdr:colOff>209551</xdr:colOff>
      <xdr:row>13</xdr:row>
      <xdr:rowOff>152400</xdr:rowOff>
    </xdr:from>
    <xdr:ext cx="1616680" cy="1280432"/>
    <xdr:pic>
      <xdr:nvPicPr>
        <xdr:cNvPr id="18" name="Imag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7522" y="2743200"/>
          <a:ext cx="1616680" cy="1280432"/>
        </a:xfrm>
        <a:prstGeom prst="rect">
          <a:avLst/>
        </a:prstGeom>
      </xdr:spPr>
    </xdr:pic>
    <xdr:clientData/>
  </xdr:oneCellAnchor>
  <xdr:twoCellAnchor>
    <xdr:from>
      <xdr:col>8</xdr:col>
      <xdr:colOff>30480</xdr:colOff>
      <xdr:row>17</xdr:row>
      <xdr:rowOff>47625</xdr:rowOff>
    </xdr:from>
    <xdr:to>
      <xdr:col>10</xdr:col>
      <xdr:colOff>180975</xdr:colOff>
      <xdr:row>18</xdr:row>
      <xdr:rowOff>160020</xdr:rowOff>
    </xdr:to>
    <xdr:cxnSp macro="">
      <xdr:nvCxnSpPr>
        <xdr:cNvPr id="20" name="Connecteur droit avec flèch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flipV="1">
          <a:off x="6149340" y="3667125"/>
          <a:ext cx="1735455" cy="29527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29</xdr:row>
      <xdr:rowOff>151553</xdr:rowOff>
    </xdr:from>
    <xdr:to>
      <xdr:col>9</xdr:col>
      <xdr:colOff>466726</xdr:colOff>
      <xdr:row>29</xdr:row>
      <xdr:rowOff>152400</xdr:rowOff>
    </xdr:to>
    <xdr:cxnSp macro="">
      <xdr:nvCxnSpPr>
        <xdr:cNvPr id="26" name="Connecteur droit avec flèch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endCxn id="2" idx="1"/>
        </xdr:cNvCxnSpPr>
      </xdr:nvCxnSpPr>
      <xdr:spPr>
        <a:xfrm flipV="1">
          <a:off x="5391150" y="8676428"/>
          <a:ext cx="1200151" cy="84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2517328</xdr:colOff>
      <xdr:row>24</xdr:row>
      <xdr:rowOff>288152</xdr:rowOff>
    </xdr:from>
    <xdr:ext cx="2015491" cy="2236387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6719" y="4548726"/>
          <a:ext cx="2015491" cy="223638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11</xdr:row>
          <xdr:rowOff>137160</xdr:rowOff>
        </xdr:from>
        <xdr:to>
          <xdr:col>7</xdr:col>
          <xdr:colOff>807720</xdr:colOff>
          <xdr:row>11</xdr:row>
          <xdr:rowOff>388620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19</xdr:row>
          <xdr:rowOff>7620</xdr:rowOff>
        </xdr:from>
        <xdr:to>
          <xdr:col>5</xdr:col>
          <xdr:colOff>533400</xdr:colOff>
          <xdr:row>19</xdr:row>
          <xdr:rowOff>259080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Appuyez pour générer 1/θ</a:t>
              </a:r>
              <a:r>
                <a:rPr lang="fr-FR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12879</xdr:colOff>
      <xdr:row>26</xdr:row>
      <xdr:rowOff>76929</xdr:rowOff>
    </xdr:from>
    <xdr:to>
      <xdr:col>19</xdr:col>
      <xdr:colOff>732744</xdr:colOff>
      <xdr:row>34</xdr:row>
      <xdr:rowOff>112069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11019" y="7811229"/>
          <a:ext cx="2304825" cy="1985859"/>
        </a:xfrm>
        <a:prstGeom prst="rect">
          <a:avLst/>
        </a:prstGeom>
      </xdr:spPr>
    </xdr:pic>
    <xdr:clientData/>
  </xdr:twoCellAnchor>
  <xdr:twoCellAnchor editAs="oneCell">
    <xdr:from>
      <xdr:col>14</xdr:col>
      <xdr:colOff>146833</xdr:colOff>
      <xdr:row>26</xdr:row>
      <xdr:rowOff>41317</xdr:rowOff>
    </xdr:from>
    <xdr:to>
      <xdr:col>16</xdr:col>
      <xdr:colOff>561290</xdr:colOff>
      <xdr:row>34</xdr:row>
      <xdr:rowOff>76032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8469" y="7979972"/>
          <a:ext cx="4421680" cy="1992280"/>
        </a:xfrm>
        <a:prstGeom prst="rect">
          <a:avLst/>
        </a:prstGeom>
      </xdr:spPr>
    </xdr:pic>
    <xdr:clientData/>
  </xdr:twoCellAnchor>
  <xdr:twoCellAnchor>
    <xdr:from>
      <xdr:col>11</xdr:col>
      <xdr:colOff>43543</xdr:colOff>
      <xdr:row>30</xdr:row>
      <xdr:rowOff>0</xdr:rowOff>
    </xdr:from>
    <xdr:to>
      <xdr:col>13</xdr:col>
      <xdr:colOff>1175658</xdr:colOff>
      <xdr:row>30</xdr:row>
      <xdr:rowOff>0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H="1">
          <a:off x="8077200" y="8643257"/>
          <a:ext cx="2721429" cy="0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514350</xdr:colOff>
      <xdr:row>28</xdr:row>
      <xdr:rowOff>0</xdr:rowOff>
    </xdr:from>
    <xdr:to>
      <xdr:col>10</xdr:col>
      <xdr:colOff>942975</xdr:colOff>
      <xdr:row>28</xdr:row>
      <xdr:rowOff>142875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7620000" y="3790950"/>
          <a:ext cx="428625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485775</xdr:colOff>
      <xdr:row>32</xdr:row>
      <xdr:rowOff>0</xdr:rowOff>
    </xdr:from>
    <xdr:to>
      <xdr:col>12</xdr:col>
      <xdr:colOff>485775</xdr:colOff>
      <xdr:row>33</xdr:row>
      <xdr:rowOff>142875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2296775" y="4371975"/>
          <a:ext cx="0" cy="33337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476250</xdr:colOff>
      <xdr:row>29</xdr:row>
      <xdr:rowOff>47625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>
          <a:off x="6953250" y="5010150"/>
          <a:ext cx="1162050" cy="2476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180975</xdr:colOff>
      <xdr:row>36</xdr:row>
      <xdr:rowOff>19050</xdr:rowOff>
    </xdr:from>
    <xdr:to>
      <xdr:col>8</xdr:col>
      <xdr:colOff>1152525</xdr:colOff>
      <xdr:row>39</xdr:row>
      <xdr:rowOff>123825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5534025" y="6819900"/>
          <a:ext cx="1409700" cy="7239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</xdr:colOff>
      <xdr:row>36</xdr:row>
      <xdr:rowOff>0</xdr:rowOff>
    </xdr:from>
    <xdr:to>
      <xdr:col>12</xdr:col>
      <xdr:colOff>257175</xdr:colOff>
      <xdr:row>39</xdr:row>
      <xdr:rowOff>123825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 flipH="1">
          <a:off x="10515601" y="7905750"/>
          <a:ext cx="1095374" cy="6953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36</xdr:row>
      <xdr:rowOff>19050</xdr:rowOff>
    </xdr:from>
    <xdr:to>
      <xdr:col>6</xdr:col>
      <xdr:colOff>104775</xdr:colOff>
      <xdr:row>37</xdr:row>
      <xdr:rowOff>161925</xdr:rowOff>
    </xdr:to>
    <xdr:cxnSp macro="">
      <xdr:nvCxnSpPr>
        <xdr:cNvPr id="16" name="Connecteur droit avec flèch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 flipV="1">
          <a:off x="4181475" y="6819900"/>
          <a:ext cx="590550" cy="38100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FR\ECH\852_GEC\02_Missions\8520374_CTT_Calculs\03_Beton_arme_EXE\01_Feuilles_Eurocodes\Feuilles%20de%20calculs\Flexion%20simple%20J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  <sheetName val="Résultats"/>
      <sheetName val="Outils"/>
      <sheetName val="Dimensionnement ELU, travée"/>
      <sheetName val="Dimensionnement ELU, appuis"/>
      <sheetName val="Vérification ELS"/>
      <sheetName val="Bibliographie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C36"/>
  <sheetViews>
    <sheetView workbookViewId="0">
      <selection activeCell="E29" sqref="E29"/>
    </sheetView>
  </sheetViews>
  <sheetFormatPr defaultColWidth="11.42578125" defaultRowHeight="14.45"/>
  <cols>
    <col min="1" max="1" width="18" customWidth="1"/>
    <col min="2" max="2" width="42.7109375" customWidth="1"/>
    <col min="3" max="3" width="139.28515625" customWidth="1"/>
  </cols>
  <sheetData>
    <row r="1" spans="1:3">
      <c r="A1" s="241" t="s">
        <v>0</v>
      </c>
      <c r="B1" s="241"/>
      <c r="C1" s="241"/>
    </row>
    <row r="2" spans="1:3">
      <c r="A2" s="241"/>
      <c r="B2" s="241"/>
      <c r="C2" s="241"/>
    </row>
    <row r="3" spans="1:3" ht="15" thickBot="1"/>
    <row r="4" spans="1:3" ht="15" thickBot="1">
      <c r="A4" s="126" t="s">
        <v>1</v>
      </c>
      <c r="B4" s="127" t="s">
        <v>2</v>
      </c>
      <c r="C4" s="128" t="s">
        <v>3</v>
      </c>
    </row>
    <row r="5" spans="1:3">
      <c r="A5" s="129">
        <v>42948</v>
      </c>
      <c r="B5" s="130" t="s">
        <v>4</v>
      </c>
      <c r="C5" s="131" t="s">
        <v>5</v>
      </c>
    </row>
    <row r="6" spans="1:3">
      <c r="A6" s="160">
        <v>45505</v>
      </c>
      <c r="B6" s="133" t="s">
        <v>6</v>
      </c>
      <c r="C6" s="134" t="s">
        <v>7</v>
      </c>
    </row>
    <row r="7" spans="1:3">
      <c r="A7" s="132"/>
      <c r="B7" s="133"/>
      <c r="C7" s="134"/>
    </row>
    <row r="8" spans="1:3">
      <c r="A8" s="132"/>
      <c r="B8" s="133"/>
      <c r="C8" s="134"/>
    </row>
    <row r="9" spans="1:3">
      <c r="A9" s="132"/>
      <c r="B9" s="133"/>
      <c r="C9" s="134"/>
    </row>
    <row r="10" spans="1:3">
      <c r="A10" s="132"/>
      <c r="B10" s="133"/>
      <c r="C10" s="134"/>
    </row>
    <row r="11" spans="1:3">
      <c r="A11" s="132"/>
      <c r="B11" s="133"/>
      <c r="C11" s="134"/>
    </row>
    <row r="12" spans="1:3">
      <c r="A12" s="132"/>
      <c r="B12" s="133"/>
      <c r="C12" s="134"/>
    </row>
    <row r="13" spans="1:3">
      <c r="A13" s="132"/>
      <c r="B13" s="133"/>
      <c r="C13" s="134"/>
    </row>
    <row r="14" spans="1:3">
      <c r="A14" s="132"/>
      <c r="B14" s="133"/>
      <c r="C14" s="134"/>
    </row>
    <row r="15" spans="1:3">
      <c r="A15" s="132"/>
      <c r="B15" s="133"/>
      <c r="C15" s="134"/>
    </row>
    <row r="16" spans="1:3">
      <c r="A16" s="132"/>
      <c r="B16" s="133"/>
      <c r="C16" s="134"/>
    </row>
    <row r="17" spans="1:3">
      <c r="A17" s="132"/>
      <c r="B17" s="133"/>
      <c r="C17" s="134"/>
    </row>
    <row r="18" spans="1:3">
      <c r="A18" s="132"/>
      <c r="B18" s="133"/>
      <c r="C18" s="134"/>
    </row>
    <row r="19" spans="1:3">
      <c r="A19" s="132"/>
      <c r="B19" s="133"/>
      <c r="C19" s="134"/>
    </row>
    <row r="20" spans="1:3">
      <c r="A20" s="132"/>
      <c r="B20" s="133"/>
      <c r="C20" s="134"/>
    </row>
    <row r="21" spans="1:3">
      <c r="A21" s="132"/>
      <c r="B21" s="133"/>
      <c r="C21" s="134"/>
    </row>
    <row r="22" spans="1:3">
      <c r="A22" s="132"/>
      <c r="B22" s="133"/>
      <c r="C22" s="134"/>
    </row>
    <row r="23" spans="1:3">
      <c r="A23" s="132"/>
      <c r="B23" s="133"/>
      <c r="C23" s="134"/>
    </row>
    <row r="24" spans="1:3">
      <c r="A24" s="132"/>
      <c r="B24" s="133"/>
      <c r="C24" s="134"/>
    </row>
    <row r="25" spans="1:3">
      <c r="A25" s="132"/>
      <c r="B25" s="133"/>
      <c r="C25" s="134"/>
    </row>
    <row r="26" spans="1:3">
      <c r="A26" s="132"/>
      <c r="B26" s="133"/>
      <c r="C26" s="134"/>
    </row>
    <row r="27" spans="1:3">
      <c r="A27" s="132"/>
      <c r="B27" s="133"/>
      <c r="C27" s="134"/>
    </row>
    <row r="28" spans="1:3">
      <c r="A28" s="132"/>
      <c r="B28" s="133"/>
      <c r="C28" s="134"/>
    </row>
    <row r="29" spans="1:3">
      <c r="A29" s="132"/>
      <c r="B29" s="133"/>
      <c r="C29" s="134"/>
    </row>
    <row r="30" spans="1:3">
      <c r="A30" s="132"/>
      <c r="B30" s="133"/>
      <c r="C30" s="134"/>
    </row>
    <row r="31" spans="1:3">
      <c r="A31" s="132"/>
      <c r="B31" s="133"/>
      <c r="C31" s="134"/>
    </row>
    <row r="32" spans="1:3">
      <c r="A32" s="132"/>
      <c r="B32" s="133"/>
      <c r="C32" s="134"/>
    </row>
    <row r="33" spans="1:3">
      <c r="A33" s="132"/>
      <c r="B33" s="133"/>
      <c r="C33" s="134"/>
    </row>
    <row r="34" spans="1:3">
      <c r="A34" s="132"/>
      <c r="B34" s="133"/>
      <c r="C34" s="134"/>
    </row>
    <row r="35" spans="1:3">
      <c r="A35" s="132"/>
      <c r="B35" s="133"/>
      <c r="C35" s="134"/>
    </row>
    <row r="36" spans="1:3" ht="15" thickBot="1">
      <c r="A36" s="135"/>
      <c r="B36" s="136"/>
      <c r="C36" s="137"/>
    </row>
  </sheetData>
  <mergeCells count="1">
    <mergeCell ref="A1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L162"/>
  <sheetViews>
    <sheetView zoomScale="85" zoomScaleNormal="85" workbookViewId="0">
      <selection activeCell="H22" sqref="H22"/>
    </sheetView>
  </sheetViews>
  <sheetFormatPr defaultColWidth="11.42578125" defaultRowHeight="14.45"/>
  <cols>
    <col min="1" max="1" width="17.5703125" customWidth="1"/>
    <col min="2" max="2" width="43.28515625" customWidth="1"/>
    <col min="7" max="7" width="29.5703125" customWidth="1"/>
    <col min="8" max="8" width="19.140625" customWidth="1"/>
    <col min="12" max="12" width="17" customWidth="1"/>
  </cols>
  <sheetData>
    <row r="1" spans="1:10" ht="15" thickBot="1">
      <c r="A1" s="218" t="s">
        <v>8</v>
      </c>
      <c r="B1" s="219"/>
      <c r="C1" s="219"/>
      <c r="D1" s="219"/>
    </row>
    <row r="2" spans="1:10" ht="15" thickBot="1">
      <c r="A2" s="220"/>
      <c r="B2" s="220"/>
      <c r="C2" s="219"/>
      <c r="D2" s="219"/>
      <c r="F2" s="242" t="s">
        <v>9</v>
      </c>
      <c r="G2" s="243"/>
      <c r="H2" s="243"/>
      <c r="I2" s="243"/>
      <c r="J2" s="244"/>
    </row>
    <row r="3" spans="1:10">
      <c r="A3" s="219" t="s">
        <v>10</v>
      </c>
      <c r="B3" s="219"/>
      <c r="C3" s="219"/>
      <c r="D3" s="219"/>
      <c r="F3" s="221" t="s">
        <v>11</v>
      </c>
      <c r="G3" s="245" t="s">
        <v>12</v>
      </c>
      <c r="H3" s="246"/>
      <c r="I3" s="246"/>
      <c r="J3" s="247"/>
    </row>
    <row r="4" spans="1:10">
      <c r="A4" s="222" t="s">
        <v>13</v>
      </c>
      <c r="B4" s="223" t="s">
        <v>14</v>
      </c>
      <c r="C4" s="219"/>
      <c r="D4" s="219"/>
      <c r="F4" s="224" t="s">
        <v>15</v>
      </c>
      <c r="G4" s="248" t="s">
        <v>16</v>
      </c>
      <c r="H4" s="249"/>
      <c r="I4" s="249"/>
      <c r="J4" s="250"/>
    </row>
    <row r="5" spans="1:10">
      <c r="A5" s="222" t="s">
        <v>17</v>
      </c>
      <c r="B5" s="225" t="s">
        <v>8</v>
      </c>
      <c r="C5" s="226"/>
      <c r="D5" s="226"/>
      <c r="F5" s="224" t="s">
        <v>18</v>
      </c>
      <c r="G5" s="248" t="s">
        <v>19</v>
      </c>
      <c r="H5" s="249"/>
      <c r="I5" s="249"/>
      <c r="J5" s="250"/>
    </row>
    <row r="6" spans="1:10">
      <c r="A6" s="222" t="s">
        <v>20</v>
      </c>
      <c r="B6" s="227" t="s">
        <v>21</v>
      </c>
      <c r="C6" s="228"/>
      <c r="D6" s="228"/>
      <c r="F6" s="224" t="s">
        <v>22</v>
      </c>
      <c r="G6" s="248" t="s">
        <v>23</v>
      </c>
      <c r="H6" s="249"/>
      <c r="I6" s="249"/>
      <c r="J6" s="250"/>
    </row>
    <row r="7" spans="1:10">
      <c r="A7" s="222" t="s">
        <v>24</v>
      </c>
      <c r="B7" s="220" t="s">
        <v>25</v>
      </c>
      <c r="C7" s="228"/>
      <c r="D7" s="228"/>
      <c r="F7" s="229" t="s">
        <v>26</v>
      </c>
      <c r="G7" s="264" t="s">
        <v>27</v>
      </c>
      <c r="H7" s="265"/>
      <c r="I7" s="265"/>
      <c r="J7" s="266"/>
    </row>
    <row r="8" spans="1:10" ht="15" thickBot="1">
      <c r="A8" s="222" t="s">
        <v>28</v>
      </c>
      <c r="B8" s="220" t="s">
        <v>29</v>
      </c>
      <c r="C8" s="228"/>
      <c r="D8" s="228"/>
      <c r="F8" s="230" t="s">
        <v>30</v>
      </c>
      <c r="G8" s="267" t="s">
        <v>31</v>
      </c>
      <c r="H8" s="268"/>
      <c r="I8" s="268"/>
      <c r="J8" s="269"/>
    </row>
    <row r="9" spans="1:10">
      <c r="A9" s="222" t="s">
        <v>32</v>
      </c>
      <c r="B9" s="220" t="s">
        <v>33</v>
      </c>
      <c r="C9" s="220"/>
      <c r="D9" s="220"/>
      <c r="E9" s="220"/>
      <c r="F9" s="220"/>
      <c r="G9" s="220"/>
    </row>
    <row r="10" spans="1:10">
      <c r="A10" s="222"/>
      <c r="F10" s="220"/>
      <c r="G10" s="220"/>
    </row>
    <row r="11" spans="1:10">
      <c r="A11" s="222"/>
      <c r="F11" s="220"/>
      <c r="G11" s="220"/>
    </row>
    <row r="12" spans="1:10">
      <c r="F12" s="220"/>
      <c r="G12" s="220"/>
    </row>
    <row r="13" spans="1:10">
      <c r="F13" s="220"/>
      <c r="G13" s="220"/>
    </row>
    <row r="14" spans="1:10">
      <c r="A14" s="231" t="s">
        <v>34</v>
      </c>
      <c r="B14" s="220"/>
      <c r="C14" s="220"/>
      <c r="D14" s="220"/>
      <c r="F14" s="220"/>
      <c r="G14" s="220"/>
    </row>
    <row r="15" spans="1:10">
      <c r="A15" s="220" t="s">
        <v>35</v>
      </c>
      <c r="B15" s="220"/>
      <c r="C15" s="220"/>
      <c r="D15" s="220"/>
      <c r="F15" s="219"/>
      <c r="G15" s="219"/>
    </row>
    <row r="16" spans="1:10">
      <c r="A16" s="220" t="s">
        <v>36</v>
      </c>
      <c r="B16" s="220"/>
      <c r="C16" s="220"/>
      <c r="D16" s="220"/>
      <c r="F16" s="219"/>
      <c r="G16" s="219"/>
    </row>
    <row r="17" spans="1:10" ht="15" thickBot="1">
      <c r="A17" s="232"/>
      <c r="B17" s="220"/>
      <c r="C17" s="220"/>
      <c r="D17" s="220"/>
      <c r="F17" s="220"/>
      <c r="G17" s="220"/>
    </row>
    <row r="18" spans="1:10">
      <c r="A18" s="233"/>
      <c r="B18" s="234" t="s">
        <v>37</v>
      </c>
      <c r="C18" s="219"/>
      <c r="D18" s="219"/>
      <c r="E18" s="220"/>
      <c r="F18" s="220"/>
      <c r="G18" s="220"/>
    </row>
    <row r="19" spans="1:10">
      <c r="B19" s="13" t="s">
        <v>38</v>
      </c>
      <c r="E19" s="220"/>
      <c r="F19" s="220"/>
      <c r="G19" s="220"/>
    </row>
    <row r="20" spans="1:10">
      <c r="B20" s="14" t="s">
        <v>39</v>
      </c>
    </row>
    <row r="21" spans="1:10">
      <c r="B21" s="15" t="s">
        <v>40</v>
      </c>
    </row>
    <row r="22" spans="1:10" ht="15" thickBot="1">
      <c r="B22" s="16" t="s">
        <v>41</v>
      </c>
    </row>
    <row r="24" spans="1:10">
      <c r="B24" s="236"/>
    </row>
    <row r="25" spans="1:10" ht="25.15" customHeight="1">
      <c r="A25" s="251" t="s">
        <v>42</v>
      </c>
      <c r="B25" s="251"/>
      <c r="C25" s="251"/>
      <c r="D25" s="251"/>
      <c r="E25" s="251"/>
    </row>
    <row r="26" spans="1:10">
      <c r="A26" s="251"/>
      <c r="B26" s="251"/>
      <c r="C26" s="251"/>
      <c r="D26" s="251"/>
      <c r="E26" s="251"/>
    </row>
    <row r="27" spans="1:10">
      <c r="A27" s="251"/>
      <c r="B27" s="251"/>
      <c r="C27" s="251"/>
      <c r="D27" s="251"/>
      <c r="E27" s="251"/>
    </row>
    <row r="28" spans="1:10">
      <c r="A28" s="251"/>
      <c r="B28" s="251"/>
      <c r="C28" s="251"/>
      <c r="D28" s="251"/>
      <c r="E28" s="251"/>
    </row>
    <row r="29" spans="1:10">
      <c r="A29" s="251"/>
      <c r="B29" s="251"/>
      <c r="C29" s="251"/>
      <c r="D29" s="251"/>
      <c r="E29" s="251"/>
    </row>
    <row r="30" spans="1:10" ht="14.45" customHeight="1">
      <c r="A30" s="251"/>
      <c r="B30" s="251"/>
      <c r="C30" s="251"/>
      <c r="D30" s="251"/>
      <c r="E30" s="251"/>
      <c r="F30" s="235"/>
      <c r="G30" s="235"/>
      <c r="H30" s="235"/>
      <c r="I30" s="235"/>
      <c r="J30" s="235"/>
    </row>
    <row r="31" spans="1:10">
      <c r="A31" s="251"/>
      <c r="B31" s="251"/>
      <c r="C31" s="251"/>
      <c r="D31" s="251"/>
      <c r="E31" s="251"/>
      <c r="F31" s="235"/>
      <c r="G31" s="235"/>
      <c r="H31" s="235"/>
      <c r="I31" s="235"/>
      <c r="J31" s="235"/>
    </row>
    <row r="32" spans="1:10">
      <c r="A32" s="251"/>
      <c r="B32" s="251"/>
      <c r="C32" s="251"/>
      <c r="D32" s="251"/>
      <c r="E32" s="251"/>
      <c r="F32" s="235"/>
      <c r="G32" s="235"/>
      <c r="H32" s="235"/>
      <c r="I32" s="235"/>
      <c r="J32" s="235"/>
    </row>
    <row r="33" spans="1:10">
      <c r="A33" s="235"/>
      <c r="B33" s="235"/>
      <c r="C33" s="235"/>
      <c r="D33" s="235"/>
      <c r="E33" s="235"/>
      <c r="F33" s="235"/>
      <c r="G33" s="235"/>
      <c r="H33" s="235"/>
      <c r="I33" s="235"/>
      <c r="J33" s="235"/>
    </row>
    <row r="34" spans="1:10" ht="18">
      <c r="A34" s="252" t="s">
        <v>43</v>
      </c>
      <c r="B34" s="253"/>
      <c r="C34" s="253"/>
      <c r="D34" s="253"/>
      <c r="E34" s="253"/>
      <c r="F34" s="253"/>
      <c r="G34" s="253"/>
      <c r="H34" s="254"/>
      <c r="I34" s="235"/>
      <c r="J34" s="235"/>
    </row>
    <row r="35" spans="1:10">
      <c r="A35" s="255" t="s">
        <v>44</v>
      </c>
      <c r="B35" s="256"/>
      <c r="C35" s="256"/>
      <c r="D35" s="256"/>
      <c r="E35" s="256"/>
      <c r="F35" s="256"/>
      <c r="G35" s="256"/>
      <c r="H35" s="257"/>
      <c r="I35" s="235"/>
      <c r="J35" s="235"/>
    </row>
    <row r="36" spans="1:10">
      <c r="A36" s="258"/>
      <c r="B36" s="259"/>
      <c r="C36" s="259"/>
      <c r="D36" s="259"/>
      <c r="E36" s="259"/>
      <c r="F36" s="259"/>
      <c r="G36" s="259"/>
      <c r="H36" s="260"/>
      <c r="I36" s="235"/>
      <c r="J36" s="235"/>
    </row>
    <row r="37" spans="1:10">
      <c r="A37" s="258"/>
      <c r="B37" s="259"/>
      <c r="C37" s="259"/>
      <c r="D37" s="259"/>
      <c r="E37" s="259"/>
      <c r="F37" s="259"/>
      <c r="G37" s="259"/>
      <c r="H37" s="260"/>
      <c r="I37" s="235"/>
      <c r="J37" s="235"/>
    </row>
    <row r="38" spans="1:10">
      <c r="A38" s="258"/>
      <c r="B38" s="259"/>
      <c r="C38" s="259"/>
      <c r="D38" s="259"/>
      <c r="E38" s="259"/>
      <c r="F38" s="259"/>
      <c r="G38" s="259"/>
      <c r="H38" s="260"/>
      <c r="I38" s="235"/>
      <c r="J38" s="235"/>
    </row>
    <row r="39" spans="1:10">
      <c r="A39" s="258"/>
      <c r="B39" s="259"/>
      <c r="C39" s="259"/>
      <c r="D39" s="259"/>
      <c r="E39" s="259"/>
      <c r="F39" s="259"/>
      <c r="G39" s="259"/>
      <c r="H39" s="260"/>
      <c r="I39" s="235"/>
      <c r="J39" s="235"/>
    </row>
    <row r="40" spans="1:10">
      <c r="A40" s="258"/>
      <c r="B40" s="259"/>
      <c r="C40" s="259"/>
      <c r="D40" s="259"/>
      <c r="E40" s="259"/>
      <c r="F40" s="259"/>
      <c r="G40" s="259"/>
      <c r="H40" s="260"/>
      <c r="I40" s="235"/>
      <c r="J40" s="235"/>
    </row>
    <row r="41" spans="1:10">
      <c r="A41" s="258"/>
      <c r="B41" s="259"/>
      <c r="C41" s="259"/>
      <c r="D41" s="259"/>
      <c r="E41" s="259"/>
      <c r="F41" s="259"/>
      <c r="G41" s="259"/>
      <c r="H41" s="260"/>
      <c r="I41" s="235"/>
      <c r="J41" s="235"/>
    </row>
    <row r="42" spans="1:10">
      <c r="A42" s="258"/>
      <c r="B42" s="259"/>
      <c r="C42" s="259"/>
      <c r="D42" s="259"/>
      <c r="E42" s="259"/>
      <c r="F42" s="259"/>
      <c r="G42" s="259"/>
      <c r="H42" s="260"/>
      <c r="I42" s="235"/>
      <c r="J42" s="235"/>
    </row>
    <row r="43" spans="1:10">
      <c r="A43" s="258"/>
      <c r="B43" s="259"/>
      <c r="C43" s="259"/>
      <c r="D43" s="259"/>
      <c r="E43" s="259"/>
      <c r="F43" s="259"/>
      <c r="G43" s="259"/>
      <c r="H43" s="260"/>
      <c r="I43" s="235"/>
      <c r="J43" s="235"/>
    </row>
    <row r="44" spans="1:10">
      <c r="A44" s="258"/>
      <c r="B44" s="259"/>
      <c r="C44" s="259"/>
      <c r="D44" s="259"/>
      <c r="E44" s="259"/>
      <c r="F44" s="259"/>
      <c r="G44" s="259"/>
      <c r="H44" s="260"/>
    </row>
    <row r="45" spans="1:10" ht="18" customHeight="1">
      <c r="A45" s="258"/>
      <c r="B45" s="259"/>
      <c r="C45" s="259"/>
      <c r="D45" s="259"/>
      <c r="E45" s="259"/>
      <c r="F45" s="259"/>
      <c r="G45" s="259"/>
      <c r="H45" s="260"/>
    </row>
    <row r="46" spans="1:10" ht="14.45" customHeight="1">
      <c r="A46" s="258"/>
      <c r="B46" s="259"/>
      <c r="C46" s="259"/>
      <c r="D46" s="259"/>
      <c r="E46" s="259"/>
      <c r="F46" s="259"/>
      <c r="G46" s="259"/>
      <c r="H46" s="260"/>
    </row>
    <row r="47" spans="1:10">
      <c r="A47" s="258"/>
      <c r="B47" s="259"/>
      <c r="C47" s="259"/>
      <c r="D47" s="259"/>
      <c r="E47" s="259"/>
      <c r="F47" s="259"/>
      <c r="G47" s="259"/>
      <c r="H47" s="260"/>
    </row>
    <row r="48" spans="1:10">
      <c r="A48" s="258"/>
      <c r="B48" s="259"/>
      <c r="C48" s="259"/>
      <c r="D48" s="259"/>
      <c r="E48" s="259"/>
      <c r="F48" s="259"/>
      <c r="G48" s="259"/>
      <c r="H48" s="260"/>
    </row>
    <row r="49" spans="1:8">
      <c r="A49" s="258"/>
      <c r="B49" s="259"/>
      <c r="C49" s="259"/>
      <c r="D49" s="259"/>
      <c r="E49" s="259"/>
      <c r="F49" s="259"/>
      <c r="G49" s="259"/>
      <c r="H49" s="260"/>
    </row>
    <row r="50" spans="1:8">
      <c r="A50" s="258"/>
      <c r="B50" s="259"/>
      <c r="C50" s="259"/>
      <c r="D50" s="259"/>
      <c r="E50" s="259"/>
      <c r="F50" s="259"/>
      <c r="G50" s="259"/>
      <c r="H50" s="260"/>
    </row>
    <row r="51" spans="1:8">
      <c r="A51" s="258"/>
      <c r="B51" s="259"/>
      <c r="C51" s="259"/>
      <c r="D51" s="259"/>
      <c r="E51" s="259"/>
      <c r="F51" s="259"/>
      <c r="G51" s="259"/>
      <c r="H51" s="260"/>
    </row>
    <row r="52" spans="1:8">
      <c r="A52" s="261"/>
      <c r="B52" s="262"/>
      <c r="C52" s="262"/>
      <c r="D52" s="262"/>
      <c r="E52" s="262"/>
      <c r="F52" s="262"/>
      <c r="G52" s="262"/>
      <c r="H52" s="263"/>
    </row>
    <row r="132" spans="1:12">
      <c r="A132" s="237"/>
    </row>
    <row r="133" spans="1:12">
      <c r="B133" s="237"/>
      <c r="C133" s="237"/>
      <c r="D133" s="237"/>
      <c r="E133" s="237"/>
      <c r="G133" s="195"/>
      <c r="I133" s="238"/>
      <c r="J133" s="238"/>
      <c r="K133" s="238"/>
      <c r="L133" s="238"/>
    </row>
    <row r="134" spans="1:12">
      <c r="B134" s="237"/>
      <c r="C134" s="237"/>
      <c r="D134" s="237"/>
      <c r="E134" s="237"/>
      <c r="G134" s="195"/>
      <c r="I134" s="238"/>
      <c r="J134" s="238"/>
      <c r="K134" s="238"/>
      <c r="L134" s="238"/>
    </row>
    <row r="135" spans="1:12">
      <c r="B135" s="237"/>
      <c r="C135" s="237"/>
      <c r="D135" s="237"/>
      <c r="E135" s="237"/>
      <c r="G135" s="195"/>
      <c r="I135" s="238"/>
      <c r="J135" s="238"/>
      <c r="K135" s="238"/>
      <c r="L135" s="238"/>
    </row>
    <row r="136" spans="1:12">
      <c r="B136" s="239"/>
      <c r="C136" s="239"/>
      <c r="D136" s="239"/>
      <c r="E136" s="239"/>
      <c r="G136" s="195"/>
      <c r="I136" s="238"/>
      <c r="J136" s="238"/>
      <c r="K136" s="238"/>
      <c r="L136" s="238"/>
    </row>
    <row r="137" spans="1:12">
      <c r="G137" s="195"/>
      <c r="I137" s="238"/>
      <c r="J137" s="238"/>
      <c r="K137" s="238"/>
      <c r="L137" s="238"/>
    </row>
    <row r="138" spans="1:12">
      <c r="G138" s="195"/>
      <c r="I138" s="238"/>
      <c r="J138" s="238"/>
      <c r="K138" s="238"/>
      <c r="L138" s="238"/>
    </row>
    <row r="139" spans="1:12">
      <c r="G139" s="195"/>
      <c r="I139" s="238"/>
      <c r="J139" s="238"/>
      <c r="K139" s="238"/>
      <c r="L139" s="238"/>
    </row>
    <row r="140" spans="1:12">
      <c r="G140" s="195"/>
      <c r="I140" s="238"/>
      <c r="J140" s="238"/>
      <c r="K140" s="238"/>
      <c r="L140" s="238"/>
    </row>
    <row r="141" spans="1:12">
      <c r="G141" s="195"/>
      <c r="I141" s="238"/>
      <c r="J141" s="238"/>
      <c r="K141" s="238"/>
      <c r="L141" s="238"/>
    </row>
    <row r="144" spans="1:12" ht="18">
      <c r="B144" s="240"/>
      <c r="C144" s="240"/>
      <c r="D144" s="240"/>
      <c r="E144" s="240"/>
      <c r="F144" s="240"/>
      <c r="G144" s="240"/>
      <c r="H144" s="240"/>
    </row>
    <row r="145" spans="2:8">
      <c r="B145" s="238"/>
      <c r="C145" s="3"/>
      <c r="D145" s="3"/>
      <c r="E145" s="3"/>
      <c r="F145" s="3"/>
      <c r="G145" s="3"/>
      <c r="H145" s="3"/>
    </row>
    <row r="146" spans="2:8">
      <c r="B146" s="3"/>
      <c r="C146" s="3"/>
      <c r="D146" s="3"/>
      <c r="E146" s="3"/>
      <c r="F146" s="3"/>
      <c r="G146" s="3"/>
      <c r="H146" s="3"/>
    </row>
    <row r="147" spans="2:8">
      <c r="B147" s="3"/>
      <c r="C147" s="3"/>
      <c r="D147" s="3"/>
      <c r="E147" s="3"/>
      <c r="F147" s="3"/>
      <c r="G147" s="3"/>
      <c r="H147" s="3"/>
    </row>
    <row r="148" spans="2:8">
      <c r="B148" s="3"/>
      <c r="C148" s="3"/>
      <c r="D148" s="3"/>
      <c r="E148" s="3"/>
      <c r="F148" s="3"/>
      <c r="G148" s="3"/>
      <c r="H148" s="3"/>
    </row>
    <row r="149" spans="2:8">
      <c r="B149" s="3"/>
      <c r="C149" s="3"/>
      <c r="D149" s="3"/>
      <c r="E149" s="3"/>
      <c r="F149" s="3"/>
      <c r="G149" s="3"/>
      <c r="H149" s="3"/>
    </row>
    <row r="150" spans="2:8">
      <c r="B150" s="3"/>
      <c r="C150" s="3"/>
      <c r="D150" s="3"/>
      <c r="E150" s="3"/>
      <c r="F150" s="3"/>
      <c r="G150" s="3"/>
      <c r="H150" s="3"/>
    </row>
    <row r="151" spans="2:8">
      <c r="B151" s="3"/>
      <c r="C151" s="3"/>
      <c r="D151" s="3"/>
      <c r="E151" s="3"/>
      <c r="F151" s="3"/>
      <c r="G151" s="3"/>
      <c r="H151" s="3"/>
    </row>
    <row r="152" spans="2:8">
      <c r="B152" s="3"/>
      <c r="C152" s="3"/>
      <c r="D152" s="3"/>
      <c r="E152" s="3"/>
      <c r="F152" s="3"/>
      <c r="G152" s="3"/>
      <c r="H152" s="3"/>
    </row>
    <row r="153" spans="2:8">
      <c r="B153" s="3"/>
      <c r="C153" s="3"/>
      <c r="D153" s="3"/>
      <c r="E153" s="3"/>
      <c r="F153" s="3"/>
      <c r="G153" s="3"/>
      <c r="H153" s="3"/>
    </row>
    <row r="154" spans="2:8">
      <c r="B154" s="3"/>
      <c r="C154" s="3"/>
      <c r="D154" s="3"/>
      <c r="E154" s="3"/>
      <c r="F154" s="3"/>
      <c r="G154" s="3"/>
      <c r="H154" s="3"/>
    </row>
    <row r="155" spans="2:8">
      <c r="B155" s="3"/>
      <c r="C155" s="3"/>
      <c r="D155" s="3"/>
      <c r="E155" s="3"/>
      <c r="F155" s="3"/>
      <c r="G155" s="3"/>
      <c r="H155" s="3"/>
    </row>
    <row r="156" spans="2:8">
      <c r="B156" s="3"/>
      <c r="C156" s="3"/>
      <c r="D156" s="3"/>
      <c r="E156" s="3"/>
      <c r="F156" s="3"/>
      <c r="G156" s="3"/>
      <c r="H156" s="3"/>
    </row>
    <row r="157" spans="2:8">
      <c r="B157" s="3"/>
      <c r="C157" s="3"/>
      <c r="D157" s="3"/>
      <c r="E157" s="3"/>
      <c r="F157" s="3"/>
      <c r="G157" s="3"/>
      <c r="H157" s="3"/>
    </row>
    <row r="158" spans="2:8">
      <c r="B158" s="3"/>
      <c r="C158" s="3"/>
      <c r="D158" s="3"/>
      <c r="E158" s="3"/>
      <c r="F158" s="3"/>
      <c r="G158" s="3"/>
      <c r="H158" s="3"/>
    </row>
    <row r="159" spans="2:8">
      <c r="B159" s="3"/>
      <c r="C159" s="3"/>
      <c r="D159" s="3"/>
      <c r="E159" s="3"/>
      <c r="F159" s="3"/>
      <c r="G159" s="3"/>
      <c r="H159" s="3"/>
    </row>
    <row r="160" spans="2:8">
      <c r="B160" s="3"/>
      <c r="C160" s="3"/>
      <c r="D160" s="3"/>
      <c r="E160" s="3"/>
      <c r="F160" s="3"/>
      <c r="G160" s="3"/>
      <c r="H160" s="3"/>
    </row>
    <row r="161" spans="2:8">
      <c r="B161" s="3"/>
      <c r="C161" s="3"/>
      <c r="D161" s="3"/>
      <c r="E161" s="3"/>
      <c r="F161" s="3"/>
      <c r="G161" s="3"/>
      <c r="H161" s="3"/>
    </row>
    <row r="162" spans="2:8">
      <c r="B162" s="3"/>
      <c r="C162" s="3"/>
      <c r="D162" s="3"/>
      <c r="E162" s="3"/>
      <c r="F162" s="3"/>
      <c r="G162" s="3"/>
      <c r="H162" s="3"/>
    </row>
  </sheetData>
  <mergeCells count="10">
    <mergeCell ref="A25:E32"/>
    <mergeCell ref="A34:H34"/>
    <mergeCell ref="A35:H52"/>
    <mergeCell ref="G7:J7"/>
    <mergeCell ref="G8:J8"/>
    <mergeCell ref="F2:J2"/>
    <mergeCell ref="G3:J3"/>
    <mergeCell ref="G4:J4"/>
    <mergeCell ref="G5:J5"/>
    <mergeCell ref="G6:J6"/>
  </mergeCells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pageSetUpPr fitToPage="1"/>
  </sheetPr>
  <dimension ref="A1:AF62"/>
  <sheetViews>
    <sheetView zoomScale="85" zoomScaleNormal="85" workbookViewId="0">
      <selection activeCell="E56" sqref="E56"/>
    </sheetView>
  </sheetViews>
  <sheetFormatPr defaultColWidth="11.42578125" defaultRowHeight="14.45"/>
  <cols>
    <col min="2" max="2" width="6.7109375" customWidth="1"/>
    <col min="3" max="3" width="10.85546875" customWidth="1"/>
    <col min="4" max="4" width="20.42578125" bestFit="1" customWidth="1"/>
    <col min="5" max="6" width="9.7109375" customWidth="1"/>
    <col min="7" max="7" width="3.7109375" customWidth="1"/>
    <col min="8" max="8" width="16.7109375" customWidth="1"/>
    <col min="11" max="11" width="45.7109375" customWidth="1"/>
  </cols>
  <sheetData>
    <row r="1" spans="1:32" ht="15" customHeight="1">
      <c r="B1" s="4"/>
      <c r="C1" s="4"/>
      <c r="D1" s="4"/>
      <c r="E1" s="4"/>
      <c r="F1" s="4"/>
      <c r="G1" s="4"/>
      <c r="H1" s="4"/>
      <c r="I1" s="217"/>
      <c r="J1" s="208"/>
      <c r="K1" s="208"/>
      <c r="L1" s="208"/>
      <c r="M1" s="208"/>
      <c r="N1" s="208"/>
    </row>
    <row r="2" spans="1:32" ht="15" customHeight="1">
      <c r="B2" s="4"/>
      <c r="C2" s="4"/>
      <c r="D2" s="4"/>
      <c r="E2" s="4"/>
      <c r="F2" s="4"/>
      <c r="G2" s="4"/>
      <c r="H2" s="4"/>
      <c r="I2" s="216"/>
    </row>
    <row r="3" spans="1:32">
      <c r="B3" s="3"/>
      <c r="I3" s="204"/>
    </row>
    <row r="4" spans="1:32">
      <c r="B4" s="3"/>
      <c r="I4" s="204"/>
    </row>
    <row r="5" spans="1:32">
      <c r="B5" s="3"/>
      <c r="I5" s="204"/>
    </row>
    <row r="6" spans="1:32" ht="26.45" thickBot="1">
      <c r="B6" s="304" t="s">
        <v>45</v>
      </c>
      <c r="C6" s="304"/>
      <c r="D6" s="304"/>
      <c r="E6" s="304"/>
      <c r="F6" s="304"/>
      <c r="G6" s="304"/>
      <c r="H6" s="304"/>
      <c r="I6" s="193"/>
      <c r="J6" s="194"/>
      <c r="K6" s="318" t="s">
        <v>46</v>
      </c>
      <c r="L6" s="318"/>
      <c r="M6" s="318"/>
      <c r="N6" s="318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</row>
    <row r="7" spans="1:32">
      <c r="F7" s="3"/>
      <c r="G7" s="3"/>
      <c r="H7" s="3"/>
      <c r="I7" s="212"/>
      <c r="J7" s="208"/>
      <c r="K7" s="208"/>
      <c r="L7" s="208"/>
      <c r="M7" s="208"/>
      <c r="N7" s="208"/>
      <c r="O7" s="208"/>
      <c r="P7" s="208"/>
    </row>
    <row r="8" spans="1:32" ht="15" customHeight="1" thickBot="1">
      <c r="B8" s="171" t="s">
        <v>47</v>
      </c>
      <c r="C8" s="3"/>
      <c r="E8" s="172"/>
      <c r="F8" s="3"/>
      <c r="G8" s="3"/>
      <c r="H8" s="3"/>
      <c r="I8" s="215"/>
      <c r="K8" s="4"/>
    </row>
    <row r="9" spans="1:32">
      <c r="B9" s="173" t="s">
        <v>48</v>
      </c>
      <c r="C9" s="3"/>
      <c r="F9" s="3"/>
      <c r="G9" s="3"/>
      <c r="H9" s="3"/>
      <c r="I9" s="215"/>
      <c r="K9" s="192" t="s">
        <v>38</v>
      </c>
    </row>
    <row r="10" spans="1:32" ht="15.6">
      <c r="B10" s="174" t="s">
        <v>49</v>
      </c>
      <c r="C10" s="174" t="s">
        <v>50</v>
      </c>
      <c r="D10" s="175"/>
      <c r="E10" s="175"/>
      <c r="F10" s="176"/>
      <c r="G10" s="176"/>
      <c r="H10" s="176"/>
      <c r="I10" s="215"/>
      <c r="K10" s="14" t="s">
        <v>39</v>
      </c>
    </row>
    <row r="11" spans="1:32" ht="15.6">
      <c r="A11" s="1"/>
      <c r="B11" s="170"/>
      <c r="C11" s="170"/>
      <c r="D11" s="170"/>
      <c r="E11" s="170"/>
      <c r="F11" s="170"/>
      <c r="G11" s="170"/>
      <c r="H11" s="170"/>
      <c r="I11" s="77"/>
      <c r="J11" s="11"/>
      <c r="K11" s="15" t="s">
        <v>40</v>
      </c>
      <c r="L11" s="1"/>
    </row>
    <row r="12" spans="1:32" ht="16.149999999999999" thickBot="1">
      <c r="A12" s="1"/>
      <c r="B12" s="180" t="s">
        <v>51</v>
      </c>
      <c r="C12" s="177"/>
      <c r="D12" s="177"/>
      <c r="E12" s="177"/>
      <c r="F12" s="177"/>
      <c r="G12" s="177"/>
      <c r="H12" s="177"/>
      <c r="I12" s="77"/>
      <c r="J12" s="11"/>
      <c r="K12" s="16" t="s">
        <v>41</v>
      </c>
      <c r="L12" s="1"/>
      <c r="M12" s="1"/>
      <c r="N12" s="1"/>
    </row>
    <row r="13" spans="1:32">
      <c r="A13" s="1"/>
      <c r="B13" s="305" t="s">
        <v>52</v>
      </c>
      <c r="C13" s="306"/>
      <c r="D13" s="306">
        <v>2</v>
      </c>
      <c r="E13" s="298" t="s">
        <v>53</v>
      </c>
      <c r="F13" s="298"/>
      <c r="G13" s="298"/>
      <c r="H13" s="299"/>
      <c r="I13" s="77"/>
      <c r="J13" s="11"/>
      <c r="L13" s="1"/>
      <c r="M13" s="1"/>
      <c r="N13" s="1"/>
    </row>
    <row r="14" spans="1:32" ht="59.45" customHeight="1">
      <c r="A14" s="1"/>
      <c r="B14" s="281" t="s">
        <v>54</v>
      </c>
      <c r="C14" s="277"/>
      <c r="D14" s="164" t="s">
        <v>55</v>
      </c>
      <c r="E14" s="309" t="s">
        <v>56</v>
      </c>
      <c r="F14" s="309"/>
      <c r="G14" s="309"/>
      <c r="H14" s="310"/>
      <c r="I14" s="77"/>
      <c r="L14" s="1"/>
      <c r="M14" s="1"/>
      <c r="N14" s="1"/>
    </row>
    <row r="15" spans="1:32" hidden="1">
      <c r="A15" s="1"/>
      <c r="B15" s="311" t="s">
        <v>57</v>
      </c>
      <c r="C15" s="312"/>
      <c r="D15" s="313"/>
      <c r="E15" s="302" t="s">
        <v>58</v>
      </c>
      <c r="F15" s="302"/>
      <c r="G15" s="302"/>
      <c r="H15" s="303"/>
      <c r="I15" s="77"/>
      <c r="J15" s="11"/>
      <c r="L15" s="1"/>
      <c r="M15" s="1"/>
      <c r="N15" s="1"/>
    </row>
    <row r="16" spans="1:32" hidden="1">
      <c r="A16" s="1"/>
      <c r="B16" s="311" t="s">
        <v>59</v>
      </c>
      <c r="C16" s="312"/>
      <c r="D16" s="313"/>
      <c r="E16" s="302" t="s">
        <v>60</v>
      </c>
      <c r="F16" s="302"/>
      <c r="G16" s="302"/>
      <c r="H16" s="303"/>
      <c r="I16" s="77"/>
      <c r="J16" s="11"/>
      <c r="L16" s="1"/>
      <c r="M16" s="1"/>
      <c r="N16" s="1"/>
    </row>
    <row r="17" spans="1:14" ht="20.45">
      <c r="A17" s="1"/>
      <c r="B17" s="281" t="str">
        <f>IF(ChxReductionV="1",IF(ChxChrgConcentrées=1,"V_Ed=VEd(p_u)+VEd(P_u)","V_Ed=VEd(p_u)"),"V_Ed")</f>
        <v>V_Ed</v>
      </c>
      <c r="C17" s="277"/>
      <c r="D17" s="164" t="s">
        <v>61</v>
      </c>
      <c r="E17" s="168">
        <v>292.89999999999998</v>
      </c>
      <c r="F17" s="277" t="s">
        <v>62</v>
      </c>
      <c r="G17" s="277"/>
      <c r="H17" s="278"/>
      <c r="I17" s="77"/>
      <c r="J17" s="11"/>
      <c r="L17" s="1"/>
      <c r="M17" s="1"/>
      <c r="N17" s="1"/>
    </row>
    <row r="18" spans="1:14">
      <c r="A18" s="1"/>
      <c r="B18" s="281" t="s">
        <v>63</v>
      </c>
      <c r="C18" s="277"/>
      <c r="D18" s="277"/>
      <c r="E18" s="302">
        <v>2</v>
      </c>
      <c r="F18" s="302"/>
      <c r="G18" s="302"/>
      <c r="H18" s="303"/>
      <c r="I18" s="77"/>
      <c r="J18" s="12"/>
      <c r="K18" s="11"/>
      <c r="L18" s="1"/>
      <c r="M18" s="1"/>
      <c r="N18" s="1"/>
    </row>
    <row r="19" spans="1:14" ht="20.45" hidden="1">
      <c r="A19" s="1"/>
      <c r="B19" s="281" t="s">
        <v>64</v>
      </c>
      <c r="C19" s="277"/>
      <c r="D19" s="164" t="s">
        <v>65</v>
      </c>
      <c r="E19" s="167">
        <v>90</v>
      </c>
      <c r="F19" s="277" t="s">
        <v>66</v>
      </c>
      <c r="G19" s="277"/>
      <c r="H19" s="278"/>
      <c r="I19" s="77"/>
      <c r="K19" s="11"/>
      <c r="L19" s="1"/>
      <c r="M19" s="1"/>
      <c r="N19" s="1"/>
    </row>
    <row r="20" spans="1:14" ht="16.5" hidden="1" customHeight="1">
      <c r="A20" s="1"/>
      <c r="B20" s="314" t="s">
        <v>67</v>
      </c>
      <c r="C20" s="315"/>
      <c r="D20" s="315"/>
      <c r="E20" s="302" t="s">
        <v>68</v>
      </c>
      <c r="F20" s="302"/>
      <c r="G20" s="302"/>
      <c r="H20" s="303"/>
      <c r="I20" s="77"/>
      <c r="J20" s="11"/>
      <c r="K20" s="11"/>
      <c r="L20" s="1"/>
      <c r="M20" s="1"/>
      <c r="N20" s="1"/>
    </row>
    <row r="21" spans="1:14" ht="29.25" hidden="1" customHeight="1">
      <c r="A21" s="1"/>
      <c r="B21" s="314"/>
      <c r="C21" s="315"/>
      <c r="D21" s="315"/>
      <c r="E21" s="302"/>
      <c r="F21" s="302"/>
      <c r="G21" s="302"/>
      <c r="H21" s="303"/>
      <c r="I21" s="77"/>
      <c r="J21" s="11"/>
      <c r="K21" s="11"/>
      <c r="L21" s="1"/>
      <c r="M21" s="1"/>
      <c r="N21" s="1"/>
    </row>
    <row r="22" spans="1:14" ht="37.5" customHeight="1">
      <c r="A22" s="1"/>
      <c r="B22" s="314" t="s">
        <v>69</v>
      </c>
      <c r="C22" s="315"/>
      <c r="D22" s="315"/>
      <c r="E22" s="302">
        <v>2</v>
      </c>
      <c r="F22" s="302"/>
      <c r="G22" s="302"/>
      <c r="H22" s="303"/>
      <c r="I22" s="307" t="s">
        <v>70</v>
      </c>
      <c r="J22" s="308"/>
      <c r="K22" s="308"/>
      <c r="L22" s="308"/>
      <c r="M22" s="308"/>
      <c r="N22" s="308"/>
    </row>
    <row r="23" spans="1:14" ht="20.45" hidden="1">
      <c r="A23" s="1"/>
      <c r="B23" s="281" t="s">
        <v>71</v>
      </c>
      <c r="C23" s="277"/>
      <c r="D23" s="164" t="s">
        <v>72</v>
      </c>
      <c r="E23" s="167">
        <v>115.71</v>
      </c>
      <c r="F23" s="277" t="s">
        <v>62</v>
      </c>
      <c r="G23" s="277"/>
      <c r="H23" s="278"/>
      <c r="I23" s="77"/>
      <c r="K23" s="11"/>
      <c r="L23" s="1"/>
      <c r="M23" s="1"/>
      <c r="N23" s="1"/>
    </row>
    <row r="24" spans="1:14" ht="15.6" hidden="1">
      <c r="A24" s="1"/>
      <c r="B24" s="281" t="s">
        <v>73</v>
      </c>
      <c r="C24" s="277"/>
      <c r="D24" s="165" t="s">
        <v>74</v>
      </c>
      <c r="E24" s="167">
        <v>58.57</v>
      </c>
      <c r="F24" s="277" t="s">
        <v>75</v>
      </c>
      <c r="G24" s="277"/>
      <c r="H24" s="278"/>
      <c r="I24" s="216"/>
      <c r="J24" s="11"/>
      <c r="K24" s="11"/>
      <c r="L24" s="1"/>
      <c r="M24" s="1"/>
      <c r="N24" s="1"/>
    </row>
    <row r="25" spans="1:14" ht="41.45" thickBot="1">
      <c r="A25" s="1"/>
      <c r="B25" s="270" t="s">
        <v>76</v>
      </c>
      <c r="C25" s="271"/>
      <c r="D25" s="184" t="s">
        <v>77</v>
      </c>
      <c r="E25" s="183">
        <v>0</v>
      </c>
      <c r="F25" s="271" t="s">
        <v>62</v>
      </c>
      <c r="G25" s="271"/>
      <c r="H25" s="274"/>
      <c r="I25" s="216"/>
      <c r="K25" s="11"/>
      <c r="L25" s="1"/>
      <c r="M25" s="1"/>
      <c r="N25" s="1"/>
    </row>
    <row r="26" spans="1:14">
      <c r="A26" s="1"/>
      <c r="B26" s="18"/>
      <c r="C26" s="18"/>
      <c r="D26" s="18"/>
      <c r="E26" s="19"/>
      <c r="F26" s="18"/>
      <c r="G26" s="18"/>
      <c r="H26" s="18"/>
      <c r="I26" s="77"/>
      <c r="J26" s="11"/>
      <c r="K26" s="11"/>
      <c r="L26" s="1"/>
      <c r="M26" s="1"/>
      <c r="N26" s="1"/>
    </row>
    <row r="27" spans="1:14" ht="15" thickBot="1">
      <c r="A27" s="1"/>
      <c r="B27" s="180" t="s">
        <v>78</v>
      </c>
      <c r="C27" s="181"/>
      <c r="D27" s="181"/>
      <c r="E27" s="181"/>
      <c r="F27" s="181"/>
      <c r="G27" s="181"/>
      <c r="H27" s="181"/>
      <c r="I27" s="77"/>
      <c r="J27" s="11"/>
      <c r="K27" s="11"/>
      <c r="L27" s="1"/>
      <c r="M27" s="1"/>
      <c r="N27" s="1"/>
    </row>
    <row r="28" spans="1:14">
      <c r="A28" s="1"/>
      <c r="B28" s="300" t="s">
        <v>79</v>
      </c>
      <c r="C28" s="301"/>
      <c r="D28" s="301"/>
      <c r="E28" s="298">
        <v>1</v>
      </c>
      <c r="F28" s="298"/>
      <c r="G28" s="298"/>
      <c r="H28" s="299"/>
      <c r="I28" s="77"/>
      <c r="J28" s="11"/>
      <c r="K28" s="11"/>
      <c r="L28" s="1"/>
      <c r="M28" s="1"/>
      <c r="N28" s="1"/>
    </row>
    <row r="29" spans="1:14">
      <c r="A29" s="1"/>
      <c r="B29" s="281" t="s">
        <v>80</v>
      </c>
      <c r="C29" s="277"/>
      <c r="D29" s="165" t="s">
        <v>81</v>
      </c>
      <c r="E29" s="167">
        <v>55</v>
      </c>
      <c r="F29" s="277" t="s">
        <v>66</v>
      </c>
      <c r="G29" s="277"/>
      <c r="H29" s="278"/>
      <c r="I29" s="216"/>
      <c r="J29" s="11"/>
      <c r="K29" s="11"/>
      <c r="L29" s="1"/>
      <c r="M29" s="1"/>
      <c r="N29" s="1"/>
    </row>
    <row r="30" spans="1:14" ht="20.45">
      <c r="A30" s="1"/>
      <c r="B30" s="281" t="s">
        <v>82</v>
      </c>
      <c r="C30" s="277"/>
      <c r="D30" s="164" t="s">
        <v>83</v>
      </c>
      <c r="E30" s="167">
        <v>49.2</v>
      </c>
      <c r="F30" s="277" t="s">
        <v>66</v>
      </c>
      <c r="G30" s="277"/>
      <c r="H30" s="278"/>
      <c r="I30" s="216"/>
      <c r="J30" s="11"/>
      <c r="K30" s="11"/>
      <c r="L30" s="1"/>
      <c r="M30" s="1"/>
      <c r="N30" s="1"/>
    </row>
    <row r="31" spans="1:14" ht="16.149999999999999" thickBot="1">
      <c r="A31" s="1"/>
      <c r="B31" s="270" t="s">
        <v>84</v>
      </c>
      <c r="C31" s="271"/>
      <c r="D31" s="182" t="s">
        <v>85</v>
      </c>
      <c r="E31" s="183">
        <v>25</v>
      </c>
      <c r="F31" s="271" t="s">
        <v>66</v>
      </c>
      <c r="G31" s="271"/>
      <c r="H31" s="274"/>
      <c r="I31" s="216"/>
      <c r="J31" s="11"/>
      <c r="K31" s="11"/>
      <c r="L31" s="1"/>
      <c r="M31" s="1"/>
      <c r="N31" s="1"/>
    </row>
    <row r="32" spans="1:14" ht="20.45" hidden="1">
      <c r="A32" s="1"/>
      <c r="B32" s="272" t="s">
        <v>86</v>
      </c>
      <c r="C32" s="273"/>
      <c r="D32" s="162" t="s">
        <v>87</v>
      </c>
      <c r="E32" s="166">
        <v>222</v>
      </c>
      <c r="F32" s="273" t="s">
        <v>66</v>
      </c>
      <c r="G32" s="273"/>
      <c r="H32" s="297"/>
      <c r="I32" s="216"/>
      <c r="J32" s="11"/>
      <c r="K32" s="11"/>
      <c r="L32" s="1"/>
      <c r="M32" s="1"/>
      <c r="N32" s="1"/>
    </row>
    <row r="33" spans="1:14" ht="21" hidden="1" thickBot="1">
      <c r="A33" s="1"/>
      <c r="B33" s="270" t="s">
        <v>88</v>
      </c>
      <c r="C33" s="271"/>
      <c r="D33" s="184" t="s">
        <v>89</v>
      </c>
      <c r="E33" s="183">
        <v>15</v>
      </c>
      <c r="F33" s="271" t="s">
        <v>66</v>
      </c>
      <c r="G33" s="271"/>
      <c r="H33" s="274"/>
      <c r="I33" s="216"/>
      <c r="J33" s="11"/>
      <c r="K33" s="11"/>
      <c r="L33" s="1"/>
      <c r="M33" s="1"/>
      <c r="N33" s="1"/>
    </row>
    <row r="34" spans="1:14">
      <c r="A34" s="1"/>
      <c r="B34" s="18"/>
      <c r="C34" s="18"/>
      <c r="D34" s="18"/>
      <c r="E34" s="19"/>
      <c r="F34" s="18"/>
      <c r="G34" s="18"/>
      <c r="H34" s="18"/>
      <c r="I34" s="77"/>
      <c r="J34" s="11"/>
      <c r="K34" s="11"/>
      <c r="L34" s="1"/>
      <c r="M34" s="1"/>
      <c r="N34" s="1"/>
    </row>
    <row r="35" spans="1:14" ht="15" thickBot="1">
      <c r="A35" s="1"/>
      <c r="B35" s="180" t="s">
        <v>90</v>
      </c>
      <c r="C35" s="181"/>
      <c r="D35" s="181"/>
      <c r="E35" s="181"/>
      <c r="F35" s="181"/>
      <c r="G35" s="181"/>
      <c r="H35" s="181"/>
      <c r="I35" s="77"/>
      <c r="J35" s="11"/>
      <c r="K35" s="11"/>
      <c r="L35" s="1"/>
      <c r="M35" s="1"/>
      <c r="N35" s="1"/>
    </row>
    <row r="36" spans="1:14">
      <c r="A36" s="1"/>
      <c r="B36" s="291" t="s">
        <v>91</v>
      </c>
      <c r="C36" s="292"/>
      <c r="D36" s="292"/>
      <c r="E36" s="292"/>
      <c r="F36" s="292"/>
      <c r="G36" s="292"/>
      <c r="H36" s="293"/>
      <c r="I36" s="77"/>
      <c r="J36" s="11"/>
      <c r="K36" s="11"/>
      <c r="L36" s="1"/>
      <c r="M36" s="1"/>
      <c r="N36" s="1"/>
    </row>
    <row r="37" spans="1:14" ht="20.45">
      <c r="A37" s="1"/>
      <c r="B37" s="281" t="s">
        <v>92</v>
      </c>
      <c r="C37" s="277"/>
      <c r="D37" s="164" t="s">
        <v>93</v>
      </c>
      <c r="E37" s="167">
        <v>25</v>
      </c>
      <c r="F37" s="277" t="s">
        <v>94</v>
      </c>
      <c r="G37" s="277"/>
      <c r="H37" s="278"/>
      <c r="I37" s="77"/>
      <c r="J37" s="11"/>
      <c r="K37" s="11"/>
      <c r="L37" s="1"/>
      <c r="M37" s="1"/>
      <c r="N37" s="1"/>
    </row>
    <row r="38" spans="1:14">
      <c r="A38" s="1"/>
      <c r="B38" s="294" t="s">
        <v>95</v>
      </c>
      <c r="C38" s="295"/>
      <c r="D38" s="295"/>
      <c r="E38" s="295"/>
      <c r="F38" s="295"/>
      <c r="G38" s="295"/>
      <c r="H38" s="296"/>
      <c r="I38" s="77"/>
      <c r="J38" s="11"/>
      <c r="K38" s="11"/>
      <c r="L38" s="1"/>
      <c r="M38" s="1"/>
      <c r="N38" s="1"/>
    </row>
    <row r="39" spans="1:14" ht="21" thickBot="1">
      <c r="A39" s="1"/>
      <c r="B39" s="270" t="s">
        <v>96</v>
      </c>
      <c r="C39" s="271"/>
      <c r="D39" s="184" t="s">
        <v>97</v>
      </c>
      <c r="E39" s="183">
        <v>500</v>
      </c>
      <c r="F39" s="271" t="s">
        <v>98</v>
      </c>
      <c r="G39" s="271"/>
      <c r="H39" s="274"/>
      <c r="I39" s="77"/>
      <c r="J39" s="11"/>
      <c r="K39" s="11"/>
      <c r="L39" s="1"/>
      <c r="M39" s="1"/>
      <c r="N39" s="1"/>
    </row>
    <row r="40" spans="1:14">
      <c r="A40" s="1"/>
      <c r="B40" s="20"/>
      <c r="C40" s="18"/>
      <c r="D40" s="18"/>
      <c r="E40" s="18"/>
      <c r="F40" s="18"/>
      <c r="G40" s="18"/>
      <c r="H40" s="209"/>
      <c r="I40" s="77"/>
      <c r="J40" s="11"/>
      <c r="K40" s="11"/>
      <c r="L40" s="1"/>
      <c r="M40" s="1"/>
      <c r="N40" s="1"/>
    </row>
    <row r="41" spans="1:14" ht="16.149999999999999" thickBot="1">
      <c r="A41" s="1"/>
      <c r="B41" s="178" t="s">
        <v>99</v>
      </c>
      <c r="C41" s="179"/>
      <c r="D41" s="179"/>
      <c r="E41" s="179"/>
      <c r="F41" s="179"/>
      <c r="G41" s="179"/>
      <c r="H41" s="179"/>
      <c r="I41" s="77"/>
      <c r="J41" s="11"/>
      <c r="K41" s="11"/>
      <c r="L41" s="1"/>
      <c r="M41" s="1"/>
      <c r="N41" s="1"/>
    </row>
    <row r="42" spans="1:14" ht="15" thickBot="1">
      <c r="A42" s="1"/>
      <c r="B42" s="288" t="s">
        <v>100</v>
      </c>
      <c r="C42" s="289"/>
      <c r="D42" s="289"/>
      <c r="E42" s="289">
        <v>1</v>
      </c>
      <c r="F42" s="289"/>
      <c r="G42" s="289"/>
      <c r="H42" s="290"/>
      <c r="I42" s="77"/>
      <c r="J42" s="11"/>
      <c r="K42" s="11"/>
      <c r="L42" s="1"/>
      <c r="M42" s="1"/>
      <c r="N42" s="1"/>
    </row>
    <row r="43" spans="1:14" hidden="1">
      <c r="A43" s="1"/>
      <c r="B43" s="272" t="s">
        <v>101</v>
      </c>
      <c r="C43" s="273"/>
      <c r="D43" s="273"/>
      <c r="E43" s="316">
        <v>1</v>
      </c>
      <c r="F43" s="316"/>
      <c r="G43" s="316"/>
      <c r="H43" s="317"/>
      <c r="I43" s="204"/>
      <c r="J43" s="18"/>
      <c r="K43" s="11"/>
      <c r="L43" s="1"/>
      <c r="M43" s="1"/>
      <c r="N43" s="1"/>
    </row>
    <row r="44" spans="1:14" ht="15.6" hidden="1">
      <c r="A44" s="1"/>
      <c r="B44" s="281" t="s">
        <v>102</v>
      </c>
      <c r="C44" s="277"/>
      <c r="D44" s="284" t="s">
        <v>103</v>
      </c>
      <c r="E44" s="167">
        <v>1</v>
      </c>
      <c r="F44" s="277"/>
      <c r="G44" s="277"/>
      <c r="H44" s="278"/>
      <c r="I44" s="204"/>
      <c r="K44" s="11"/>
      <c r="L44" s="1"/>
      <c r="M44" s="1"/>
      <c r="N44" s="1"/>
    </row>
    <row r="45" spans="1:14" ht="16.149999999999999" hidden="1" thickBot="1">
      <c r="A45" s="1"/>
      <c r="B45" s="279" t="s">
        <v>104</v>
      </c>
      <c r="C45" s="280"/>
      <c r="D45" s="285"/>
      <c r="E45" s="167">
        <v>12</v>
      </c>
      <c r="F45" s="277" t="s">
        <v>105</v>
      </c>
      <c r="G45" s="277"/>
      <c r="H45" s="278"/>
      <c r="I45" s="204"/>
      <c r="K45" s="11"/>
      <c r="L45" s="1"/>
      <c r="M45" s="1"/>
      <c r="N45" s="1"/>
    </row>
    <row r="46" spans="1:14" ht="15.6" hidden="1">
      <c r="A46" s="1"/>
      <c r="B46" s="281" t="s">
        <v>106</v>
      </c>
      <c r="C46" s="277"/>
      <c r="D46" s="284" t="s">
        <v>107</v>
      </c>
      <c r="E46" s="167">
        <v>3</v>
      </c>
      <c r="F46" s="277"/>
      <c r="G46" s="277"/>
      <c r="H46" s="278"/>
      <c r="I46" s="204"/>
      <c r="K46" s="11"/>
      <c r="L46" s="1"/>
      <c r="M46" s="1"/>
      <c r="N46" s="1"/>
    </row>
    <row r="47" spans="1:14" ht="16.149999999999999" hidden="1" thickBot="1">
      <c r="A47" s="1"/>
      <c r="B47" s="279" t="s">
        <v>108</v>
      </c>
      <c r="C47" s="280"/>
      <c r="D47" s="285"/>
      <c r="E47" s="167">
        <v>10</v>
      </c>
      <c r="F47" s="277" t="s">
        <v>105</v>
      </c>
      <c r="G47" s="277"/>
      <c r="H47" s="278"/>
      <c r="I47" s="204"/>
      <c r="K47" s="11"/>
      <c r="L47" s="1"/>
      <c r="M47" s="1"/>
      <c r="N47" s="1"/>
    </row>
    <row r="48" spans="1:14" ht="15.6" hidden="1">
      <c r="A48" s="1"/>
      <c r="B48" s="281" t="s">
        <v>109</v>
      </c>
      <c r="C48" s="277"/>
      <c r="D48" s="284" t="s">
        <v>110</v>
      </c>
      <c r="E48" s="167">
        <v>2</v>
      </c>
      <c r="F48" s="277"/>
      <c r="G48" s="277"/>
      <c r="H48" s="278"/>
      <c r="I48" s="204"/>
      <c r="K48" s="11"/>
      <c r="L48" s="1"/>
      <c r="M48" s="1"/>
      <c r="N48" s="1"/>
    </row>
    <row r="49" spans="1:15" ht="16.149999999999999" hidden="1" thickBot="1">
      <c r="A49" s="1"/>
      <c r="B49" s="279" t="s">
        <v>111</v>
      </c>
      <c r="C49" s="280"/>
      <c r="D49" s="285"/>
      <c r="E49" s="167">
        <v>25</v>
      </c>
      <c r="F49" s="277" t="s">
        <v>105</v>
      </c>
      <c r="G49" s="277"/>
      <c r="H49" s="278"/>
      <c r="I49" s="204"/>
      <c r="K49" s="11"/>
      <c r="L49" s="1"/>
      <c r="M49" s="1"/>
      <c r="N49" s="1"/>
    </row>
    <row r="50" spans="1:15" ht="21" hidden="1" thickBot="1">
      <c r="A50" s="1"/>
      <c r="B50" s="326" t="s">
        <v>112</v>
      </c>
      <c r="C50" s="327"/>
      <c r="D50" s="89" t="s">
        <v>113</v>
      </c>
      <c r="E50" s="21">
        <f>IF(Nbr_lits=1,phi_1,IF(Nbr_lits=2,(n_1*phi_1^2+n_2*phi_2^2)/(n_1*phi_1+n_2*phi_2),(n_1*phi_1^2+n_2*phi_2^2+n_3*phi_3^2)/(n_1*phi_1+n_2*phi_2+n_3*phi_3)))</f>
        <v>12</v>
      </c>
      <c r="F50" s="330" t="s">
        <v>105</v>
      </c>
      <c r="G50" s="330"/>
      <c r="H50" s="331"/>
      <c r="I50" s="204"/>
      <c r="K50" s="323" t="s">
        <v>114</v>
      </c>
      <c r="L50" s="324"/>
      <c r="M50" s="324"/>
      <c r="N50" s="324"/>
      <c r="O50" s="325"/>
    </row>
    <row r="51" spans="1:15" ht="29.45" hidden="1" customHeight="1">
      <c r="A51" s="1"/>
      <c r="B51" s="286" t="s">
        <v>115</v>
      </c>
      <c r="C51" s="287"/>
      <c r="D51" s="91" t="s">
        <v>116</v>
      </c>
      <c r="E51" s="121">
        <f>IF(Nbr_lits=1,PI()/4*n_1*(0.1*phi_1)^2,IF(Nbr_lits=2,PI()/4*(n_1*(0.1*phi_1)^2+n_2*(0.1*phi_2)^2),PI()/4*(n_1*(0.1*phi_1)^2+n_2*(0.1*phi_2)^2+n_3*(0.1*phi_3)^2)))</f>
        <v>1.1309733552923258</v>
      </c>
      <c r="F51" s="287" t="s">
        <v>117</v>
      </c>
      <c r="G51" s="287"/>
      <c r="H51" s="332"/>
      <c r="I51" s="204"/>
      <c r="K51" s="11"/>
      <c r="L51" s="1"/>
      <c r="M51" s="1"/>
      <c r="N51" s="1"/>
    </row>
    <row r="52" spans="1:15" ht="67.900000000000006" customHeight="1" thickBot="1">
      <c r="A52" s="1"/>
      <c r="B52" s="328" t="s">
        <v>118</v>
      </c>
      <c r="C52" s="329"/>
      <c r="D52" s="91" t="s">
        <v>119</v>
      </c>
      <c r="E52" s="120">
        <v>2.6</v>
      </c>
      <c r="F52" s="333" t="s">
        <v>120</v>
      </c>
      <c r="G52" s="333"/>
      <c r="H52" s="334"/>
      <c r="I52" s="321" t="s">
        <v>121</v>
      </c>
      <c r="J52" s="322"/>
      <c r="K52" s="11"/>
      <c r="L52" s="1"/>
      <c r="M52" s="1"/>
      <c r="N52" s="1"/>
    </row>
    <row r="53" spans="1:15" ht="15" thickBot="1">
      <c r="A53" s="1"/>
      <c r="B53" s="338" t="s">
        <v>122</v>
      </c>
      <c r="C53" s="339"/>
      <c r="D53" s="340"/>
      <c r="E53" s="335">
        <v>2</v>
      </c>
      <c r="F53" s="336"/>
      <c r="G53" s="336"/>
      <c r="H53" s="337"/>
      <c r="I53" s="77"/>
      <c r="J53" s="11"/>
      <c r="K53" s="11"/>
      <c r="L53" s="1"/>
      <c r="M53" s="1"/>
      <c r="N53" s="1"/>
    </row>
    <row r="54" spans="1:15" ht="26.25" hidden="1" customHeight="1">
      <c r="A54" s="1"/>
      <c r="B54" s="275" t="s">
        <v>123</v>
      </c>
      <c r="C54" s="276"/>
      <c r="D54" s="282" t="s">
        <v>124</v>
      </c>
      <c r="E54" s="102">
        <v>3</v>
      </c>
      <c r="F54" s="350"/>
      <c r="G54" s="351"/>
      <c r="H54" s="352"/>
      <c r="I54" s="319" t="s">
        <v>125</v>
      </c>
      <c r="J54" s="320"/>
      <c r="K54" s="11"/>
      <c r="L54" s="1"/>
      <c r="M54" s="1"/>
      <c r="N54" s="1"/>
    </row>
    <row r="55" spans="1:15" ht="24" hidden="1" customHeight="1">
      <c r="A55" s="1"/>
      <c r="B55" s="348" t="s">
        <v>126</v>
      </c>
      <c r="C55" s="349"/>
      <c r="D55" s="283"/>
      <c r="E55" s="167">
        <v>8</v>
      </c>
      <c r="F55" s="346" t="s">
        <v>105</v>
      </c>
      <c r="G55" s="312"/>
      <c r="H55" s="347"/>
      <c r="I55" s="319"/>
      <c r="J55" s="320"/>
      <c r="L55" s="1"/>
      <c r="M55" s="1"/>
      <c r="N55" s="1"/>
    </row>
    <row r="56" spans="1:15" ht="21" hidden="1" thickBot="1">
      <c r="A56" s="1"/>
      <c r="B56" s="344" t="s">
        <v>127</v>
      </c>
      <c r="C56" s="345"/>
      <c r="D56" s="103" t="s">
        <v>128</v>
      </c>
      <c r="E56" s="104">
        <f>n_21*PI()*(0.1*phi_21)^2/4</f>
        <v>1.5079644737231011</v>
      </c>
      <c r="F56" s="341" t="s">
        <v>117</v>
      </c>
      <c r="G56" s="342"/>
      <c r="H56" s="343"/>
      <c r="I56" s="319"/>
      <c r="J56" s="320"/>
      <c r="L56" s="1"/>
      <c r="M56" s="1"/>
      <c r="N56" s="1"/>
    </row>
    <row r="57" spans="1:15">
      <c r="A57" s="1"/>
      <c r="B57" s="18"/>
      <c r="C57" s="18"/>
      <c r="D57" s="18"/>
      <c r="E57" s="18"/>
      <c r="F57" s="18"/>
      <c r="G57" s="18"/>
      <c r="H57" s="18"/>
      <c r="I57" s="18"/>
      <c r="J57" s="11"/>
      <c r="K57" s="11"/>
      <c r="L57" s="1"/>
      <c r="M57" s="1"/>
      <c r="N57" s="1"/>
    </row>
    <row r="58" spans="1:15">
      <c r="A58" s="1"/>
      <c r="B58" s="18"/>
      <c r="C58" s="18"/>
      <c r="D58" s="18"/>
      <c r="E58" s="18"/>
      <c r="F58" s="18"/>
      <c r="G58" s="18"/>
      <c r="H58" s="18"/>
      <c r="I58" s="18"/>
      <c r="J58" s="11"/>
      <c r="K58" s="11"/>
      <c r="L58" s="1"/>
      <c r="M58" s="1"/>
      <c r="N58" s="1"/>
    </row>
    <row r="59" spans="1:15" ht="29.25" customHeight="1">
      <c r="B59" s="18"/>
      <c r="C59" s="18"/>
      <c r="D59" s="18"/>
      <c r="E59" s="18"/>
      <c r="F59" s="18"/>
      <c r="G59" s="18"/>
      <c r="H59" s="18"/>
      <c r="I59" s="18"/>
      <c r="J59" s="12"/>
      <c r="K59" s="12"/>
    </row>
    <row r="60" spans="1:15" ht="25.5" customHeight="1">
      <c r="B60" s="18"/>
      <c r="C60" s="18"/>
      <c r="D60" s="18"/>
      <c r="E60" s="18"/>
      <c r="F60" s="18"/>
      <c r="G60" s="18"/>
      <c r="H60" s="18"/>
      <c r="I60" s="18"/>
      <c r="J60" s="12"/>
      <c r="K60" s="12"/>
    </row>
    <row r="61" spans="1:15">
      <c r="B61" s="4"/>
      <c r="C61" s="4"/>
      <c r="D61" s="4"/>
      <c r="E61" s="4"/>
      <c r="F61" s="4"/>
      <c r="G61" s="4"/>
      <c r="H61" s="4"/>
      <c r="I61" s="4"/>
    </row>
    <row r="62" spans="1:15">
      <c r="B62" s="4"/>
      <c r="C62" s="4"/>
      <c r="D62" s="4"/>
      <c r="E62" s="4"/>
      <c r="F62" s="4"/>
      <c r="G62" s="4"/>
      <c r="H62" s="4"/>
      <c r="I62" s="4"/>
    </row>
  </sheetData>
  <mergeCells count="81">
    <mergeCell ref="K6:N6"/>
    <mergeCell ref="I54:J56"/>
    <mergeCell ref="I52:J52"/>
    <mergeCell ref="K50:O50"/>
    <mergeCell ref="B50:C50"/>
    <mergeCell ref="B52:C52"/>
    <mergeCell ref="F50:H50"/>
    <mergeCell ref="F51:H51"/>
    <mergeCell ref="F52:H52"/>
    <mergeCell ref="E53:H53"/>
    <mergeCell ref="B53:D53"/>
    <mergeCell ref="F56:H56"/>
    <mergeCell ref="B56:C56"/>
    <mergeCell ref="F55:H55"/>
    <mergeCell ref="B55:C55"/>
    <mergeCell ref="F54:H54"/>
    <mergeCell ref="D44:D45"/>
    <mergeCell ref="D46:D47"/>
    <mergeCell ref="B45:C45"/>
    <mergeCell ref="B44:C44"/>
    <mergeCell ref="E43:H43"/>
    <mergeCell ref="B6:H6"/>
    <mergeCell ref="B13:D13"/>
    <mergeCell ref="E13:H13"/>
    <mergeCell ref="I22:N22"/>
    <mergeCell ref="E15:H15"/>
    <mergeCell ref="E16:H16"/>
    <mergeCell ref="B14:C14"/>
    <mergeCell ref="E14:H14"/>
    <mergeCell ref="B16:D16"/>
    <mergeCell ref="B15:D15"/>
    <mergeCell ref="E18:H18"/>
    <mergeCell ref="B18:D18"/>
    <mergeCell ref="E20:H21"/>
    <mergeCell ref="B20:D21"/>
    <mergeCell ref="B22:D22"/>
    <mergeCell ref="B17:C17"/>
    <mergeCell ref="F17:H17"/>
    <mergeCell ref="E28:H28"/>
    <mergeCell ref="B28:D28"/>
    <mergeCell ref="F25:H25"/>
    <mergeCell ref="F24:H24"/>
    <mergeCell ref="B25:C25"/>
    <mergeCell ref="B24:C24"/>
    <mergeCell ref="F23:H23"/>
    <mergeCell ref="F19:H19"/>
    <mergeCell ref="B23:C23"/>
    <mergeCell ref="B19:C19"/>
    <mergeCell ref="E22:H22"/>
    <mergeCell ref="F29:H29"/>
    <mergeCell ref="D48:D49"/>
    <mergeCell ref="B51:C51"/>
    <mergeCell ref="B42:H42"/>
    <mergeCell ref="B36:H36"/>
    <mergeCell ref="B38:H38"/>
    <mergeCell ref="B31:C31"/>
    <mergeCell ref="B29:C29"/>
    <mergeCell ref="B30:C30"/>
    <mergeCell ref="F49:H49"/>
    <mergeCell ref="F48:H48"/>
    <mergeCell ref="F47:H47"/>
    <mergeCell ref="F44:H44"/>
    <mergeCell ref="F30:H30"/>
    <mergeCell ref="F33:H33"/>
    <mergeCell ref="F32:H32"/>
    <mergeCell ref="B33:C33"/>
    <mergeCell ref="B32:C32"/>
    <mergeCell ref="F31:H31"/>
    <mergeCell ref="B54:C54"/>
    <mergeCell ref="F45:H45"/>
    <mergeCell ref="B49:C49"/>
    <mergeCell ref="B48:C48"/>
    <mergeCell ref="B47:C47"/>
    <mergeCell ref="B46:C46"/>
    <mergeCell ref="D54:D55"/>
    <mergeCell ref="B37:C37"/>
    <mergeCell ref="B39:C39"/>
    <mergeCell ref="F37:H37"/>
    <mergeCell ref="F39:H39"/>
    <mergeCell ref="F46:H46"/>
    <mergeCell ref="B43:D43"/>
  </mergeCells>
  <conditionalFormatting sqref="B32:B33 E32:F33">
    <cfRule type="expression" dxfId="22" priority="18">
      <formula>Section="Rectangulaire"</formula>
    </cfRule>
  </conditionalFormatting>
  <conditionalFormatting sqref="D32:D33">
    <cfRule type="expression" dxfId="21" priority="16">
      <formula>Section="Rectangulaire"</formula>
    </cfRule>
  </conditionalFormatting>
  <conditionalFormatting sqref="D50">
    <cfRule type="expression" dxfId="20" priority="15">
      <formula>ChxCombiELS="Caractéristique"</formula>
    </cfRule>
  </conditionalFormatting>
  <dataValidations count="6">
    <dataValidation type="list" allowBlank="1" showInputMessage="1" showErrorMessage="1" sqref="E13:H13" xr:uid="{00000000-0002-0000-0200-000000000000}">
      <formula1>PossibilitéCombiELU</formula1>
    </dataValidation>
    <dataValidation type="list" allowBlank="1" showInputMessage="1" showErrorMessage="1" sqref="E39" xr:uid="{00000000-0002-0000-0200-000001000000}">
      <formula1>Chxfyk</formula1>
    </dataValidation>
    <dataValidation type="list" allowBlank="1" showInputMessage="1" showErrorMessage="1" sqref="E15" xr:uid="{00000000-0002-0000-0200-000002000000}">
      <formula1>ChxClStrcturale</formula1>
    </dataValidation>
    <dataValidation type="list" allowBlank="1" showInputMessage="1" showErrorMessage="1" sqref="E16" xr:uid="{00000000-0002-0000-0200-000003000000}">
      <formula1>ChxClExpo</formula1>
    </dataValidation>
    <dataValidation type="list" allowBlank="1" showInputMessage="1" showErrorMessage="1" sqref="E14" xr:uid="{00000000-0002-0000-0200-000004000000}">
      <formula1>Possibilitésvmin</formula1>
    </dataValidation>
    <dataValidation type="list" showInputMessage="1" showErrorMessage="1" sqref="E20:H21" xr:uid="{00000000-0002-0000-0200-000005000000}">
      <formula1>OuiNon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Drop Down 9">
              <controlPr defaultSize="0" autoLine="0" autoPict="0" macro="[0]!Disparitions_lignes_sectionté">
                <anchor moveWithCells="1">
                  <from>
                    <xdr:col>5</xdr:col>
                    <xdr:colOff>297180</xdr:colOff>
                    <xdr:row>27</xdr:row>
                    <xdr:rowOff>7620</xdr:rowOff>
                  </from>
                  <to>
                    <xdr:col>7</xdr:col>
                    <xdr:colOff>274320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Drop Down 11">
              <controlPr defaultSize="0" autoLine="0" autoPict="0" macro="[0]!Disparitions_lignes_Nbrlits">
                <anchor moveWithCells="1">
                  <from>
                    <xdr:col>5</xdr:col>
                    <xdr:colOff>365760</xdr:colOff>
                    <xdr:row>42</xdr:row>
                    <xdr:rowOff>0</xdr:rowOff>
                  </from>
                  <to>
                    <xdr:col>7</xdr:col>
                    <xdr:colOff>144780</xdr:colOff>
                    <xdr:row>51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Drop Down 38">
              <controlPr defaultSize="0" autoLine="0" autoPict="0" macro="[0]!Disparitions_lignes_Reduction">
                <anchor moveWithCells="1">
                  <from>
                    <xdr:col>5</xdr:col>
                    <xdr:colOff>350520</xdr:colOff>
                    <xdr:row>21</xdr:row>
                    <xdr:rowOff>160020</xdr:rowOff>
                  </from>
                  <to>
                    <xdr:col>7</xdr:col>
                    <xdr:colOff>190500</xdr:colOff>
                    <xdr:row>21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Drop Down 40">
              <controlPr defaultSize="0" autoLine="0" autoPict="0" macro="[0]!Disparitions_lignes_Charges_concentrées">
                <anchor moveWithCells="1">
                  <from>
                    <xdr:col>5</xdr:col>
                    <xdr:colOff>45720</xdr:colOff>
                    <xdr:row>17</xdr:row>
                    <xdr:rowOff>30480</xdr:rowOff>
                  </from>
                  <to>
                    <xdr:col>7</xdr:col>
                    <xdr:colOff>457200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Drop Down 44">
              <controlPr defaultSize="0" autoLine="0" autoPict="0" macro="[0]!Disparitions_As2_0">
                <anchor moveWithCells="1">
                  <from>
                    <xdr:col>5</xdr:col>
                    <xdr:colOff>335280</xdr:colOff>
                    <xdr:row>52</xdr:row>
                    <xdr:rowOff>30480</xdr:rowOff>
                  </from>
                  <to>
                    <xdr:col>7</xdr:col>
                    <xdr:colOff>114300</xdr:colOff>
                    <xdr:row>52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pageSetUpPr fitToPage="1"/>
  </sheetPr>
  <dimension ref="A1:V42"/>
  <sheetViews>
    <sheetView zoomScale="85" zoomScaleNormal="85" workbookViewId="0">
      <selection activeCell="E23" sqref="E23"/>
    </sheetView>
  </sheetViews>
  <sheetFormatPr defaultColWidth="11.42578125" defaultRowHeight="14.45"/>
  <cols>
    <col min="2" max="2" width="9.140625" customWidth="1"/>
    <col min="3" max="3" width="3.7109375" customWidth="1"/>
    <col min="4" max="4" width="18.7109375" customWidth="1"/>
    <col min="5" max="5" width="10.5703125" bestFit="1" customWidth="1"/>
    <col min="6" max="6" width="9.7109375" customWidth="1"/>
    <col min="7" max="7" width="3.7109375" customWidth="1"/>
    <col min="8" max="8" width="16.7109375" customWidth="1"/>
    <col min="11" max="11" width="10.28515625" customWidth="1"/>
    <col min="14" max="14" width="17.28515625" customWidth="1"/>
    <col min="15" max="15" width="41.28515625" customWidth="1"/>
    <col min="16" max="16" width="17.140625" customWidth="1"/>
  </cols>
  <sheetData>
    <row r="1" spans="1:22" ht="15" customHeight="1">
      <c r="B1" s="4"/>
      <c r="C1" s="4"/>
      <c r="D1" s="4"/>
      <c r="E1" s="4"/>
      <c r="F1" s="4"/>
      <c r="G1" s="4"/>
      <c r="H1" s="4"/>
      <c r="I1" s="4"/>
    </row>
    <row r="2" spans="1:22" ht="15" customHeight="1">
      <c r="B2" s="4"/>
      <c r="C2" s="4"/>
      <c r="D2" s="4"/>
      <c r="E2" s="4"/>
      <c r="F2" s="4"/>
      <c r="G2" s="4"/>
      <c r="H2" s="4"/>
      <c r="I2" s="4"/>
      <c r="K2" s="195"/>
    </row>
    <row r="3" spans="1:22" ht="66" customHeight="1">
      <c r="B3" s="4"/>
      <c r="C3" s="4"/>
      <c r="D3" s="4"/>
      <c r="E3" s="4"/>
      <c r="F3" s="4"/>
      <c r="G3" s="4"/>
      <c r="H3" s="4"/>
      <c r="I3" s="4"/>
      <c r="K3" s="195"/>
    </row>
    <row r="4" spans="1:22" ht="18" customHeight="1" thickBot="1">
      <c r="I4" s="4"/>
      <c r="K4" s="195"/>
    </row>
    <row r="5" spans="1:22" ht="26.45" customHeight="1" thickBot="1">
      <c r="B5" s="304" t="s">
        <v>45</v>
      </c>
      <c r="C5" s="304"/>
      <c r="D5" s="304"/>
      <c r="E5" s="304"/>
      <c r="F5" s="304"/>
      <c r="G5" s="304"/>
      <c r="H5" s="304"/>
      <c r="I5" s="4"/>
      <c r="K5" s="210"/>
      <c r="L5" s="395" t="s">
        <v>46</v>
      </c>
      <c r="M5" s="396"/>
      <c r="N5" s="396"/>
      <c r="O5" s="396"/>
      <c r="P5" s="396"/>
      <c r="Q5" s="396"/>
      <c r="R5" s="396"/>
      <c r="S5" s="396"/>
      <c r="T5" s="396"/>
      <c r="U5" s="397"/>
      <c r="V5" s="204"/>
    </row>
    <row r="6" spans="1:22">
      <c r="F6" s="3"/>
      <c r="G6" s="3"/>
      <c r="H6" s="3"/>
      <c r="I6" s="4"/>
      <c r="L6" s="212"/>
      <c r="M6" s="208"/>
      <c r="N6" s="208"/>
      <c r="O6" s="208"/>
      <c r="P6" s="208"/>
      <c r="Q6" s="208"/>
      <c r="R6" s="208"/>
      <c r="S6" s="208"/>
      <c r="T6" s="208"/>
      <c r="U6" s="202"/>
    </row>
    <row r="7" spans="1:22">
      <c r="B7" s="171" t="s">
        <v>47</v>
      </c>
      <c r="C7" s="3"/>
      <c r="E7" s="172"/>
      <c r="F7" s="3"/>
      <c r="G7" s="3"/>
      <c r="H7" s="3"/>
      <c r="I7" s="4"/>
      <c r="L7" s="204"/>
      <c r="U7" s="191"/>
    </row>
    <row r="8" spans="1:22">
      <c r="B8" s="173" t="s">
        <v>48</v>
      </c>
      <c r="C8" s="3"/>
      <c r="F8" s="3"/>
      <c r="G8" s="3"/>
      <c r="H8" s="3"/>
      <c r="I8" s="4"/>
      <c r="L8" s="204"/>
      <c r="U8" s="191"/>
    </row>
    <row r="9" spans="1:22" ht="15.6">
      <c r="B9" s="174" t="s">
        <v>49</v>
      </c>
      <c r="C9" s="174" t="s">
        <v>50</v>
      </c>
      <c r="D9" s="175"/>
      <c r="E9" s="175"/>
      <c r="F9" s="176"/>
      <c r="G9" s="176"/>
      <c r="H9" s="176"/>
      <c r="I9" s="4"/>
      <c r="L9" s="204"/>
      <c r="U9" s="191"/>
    </row>
    <row r="10" spans="1:22">
      <c r="B10" s="4"/>
      <c r="C10" s="4"/>
      <c r="D10" s="4"/>
      <c r="E10" s="4"/>
      <c r="F10" s="4"/>
      <c r="G10" s="4"/>
      <c r="H10" s="4"/>
      <c r="I10" s="4"/>
      <c r="L10" s="204"/>
      <c r="U10" s="191"/>
    </row>
    <row r="11" spans="1:22" ht="15" thickBot="1">
      <c r="A11" s="1"/>
      <c r="B11" s="180" t="s">
        <v>129</v>
      </c>
      <c r="C11" s="180"/>
      <c r="D11" s="180"/>
      <c r="E11" s="180"/>
      <c r="F11" s="180"/>
      <c r="G11" s="180"/>
      <c r="H11" s="180"/>
      <c r="I11" s="18"/>
      <c r="J11" s="12"/>
      <c r="K11" s="12"/>
      <c r="L11" s="213"/>
      <c r="M11" s="1"/>
      <c r="N11" s="1"/>
      <c r="U11" s="191"/>
    </row>
    <row r="12" spans="1:22" ht="42.75" customHeight="1">
      <c r="A12" s="1"/>
      <c r="B12" s="305" t="s">
        <v>130</v>
      </c>
      <c r="C12" s="306"/>
      <c r="D12" s="306"/>
      <c r="E12" s="298">
        <v>1</v>
      </c>
      <c r="F12" s="298"/>
      <c r="G12" s="298"/>
      <c r="H12" s="299"/>
      <c r="L12" s="398" t="s">
        <v>131</v>
      </c>
      <c r="M12" s="399"/>
      <c r="N12" s="399" t="s">
        <v>132</v>
      </c>
      <c r="O12" s="399"/>
      <c r="P12" s="399"/>
      <c r="Q12" s="399"/>
      <c r="R12" s="399"/>
      <c r="U12" s="191"/>
    </row>
    <row r="13" spans="1:22" ht="15.6" hidden="1">
      <c r="A13" s="1"/>
      <c r="B13" s="281" t="s">
        <v>133</v>
      </c>
      <c r="C13" s="277"/>
      <c r="D13" s="17"/>
      <c r="E13" s="22">
        <f>theta_optimisé</f>
        <v>21.801409486351812</v>
      </c>
      <c r="F13" s="370" t="s">
        <v>134</v>
      </c>
      <c r="G13" s="370"/>
      <c r="H13" s="371"/>
      <c r="I13" s="18"/>
      <c r="J13" s="12"/>
      <c r="K13" s="12"/>
      <c r="L13" s="213"/>
      <c r="M13" s="1"/>
      <c r="N13" s="1"/>
      <c r="U13" s="191"/>
    </row>
    <row r="14" spans="1:22" ht="40.9" hidden="1">
      <c r="A14" s="1"/>
      <c r="B14" s="281" t="s">
        <v>135</v>
      </c>
      <c r="C14" s="277"/>
      <c r="D14" s="164" t="s">
        <v>136</v>
      </c>
      <c r="E14" s="167">
        <v>21.8</v>
      </c>
      <c r="F14" s="387" t="s">
        <v>134</v>
      </c>
      <c r="G14" s="387"/>
      <c r="H14" s="388"/>
      <c r="I14" s="18"/>
      <c r="J14" s="12"/>
      <c r="L14" s="204"/>
      <c r="N14" s="1"/>
      <c r="U14" s="191"/>
    </row>
    <row r="15" spans="1:22" ht="41.45" thickBot="1">
      <c r="A15" s="1"/>
      <c r="B15" s="279" t="s">
        <v>137</v>
      </c>
      <c r="C15" s="280"/>
      <c r="D15" s="164" t="s">
        <v>138</v>
      </c>
      <c r="E15" s="167">
        <v>90</v>
      </c>
      <c r="F15" s="277" t="s">
        <v>134</v>
      </c>
      <c r="G15" s="277"/>
      <c r="H15" s="278"/>
      <c r="I15" s="18"/>
      <c r="J15" s="12"/>
      <c r="K15" s="4"/>
      <c r="L15" s="213"/>
      <c r="M15" s="1"/>
      <c r="N15" s="1"/>
      <c r="U15" s="191"/>
    </row>
    <row r="16" spans="1:22" ht="16.149999999999999" thickBot="1">
      <c r="A16" s="1"/>
      <c r="B16" s="385" t="s">
        <v>139</v>
      </c>
      <c r="C16" s="287" t="s">
        <v>62</v>
      </c>
      <c r="D16" s="382">
        <f>VEd</f>
        <v>292.89999999999998</v>
      </c>
      <c r="E16" s="107" t="str">
        <f>IF(VEd&lt;=VRdC,"≤","&gt;")</f>
        <v>&gt;</v>
      </c>
      <c r="F16" s="161" t="s">
        <v>140</v>
      </c>
      <c r="G16" s="161" t="s">
        <v>62</v>
      </c>
      <c r="H16" s="187">
        <f>VRdC</f>
        <v>45.107176272158455</v>
      </c>
      <c r="I16" s="18"/>
      <c r="J16" s="12"/>
      <c r="L16" s="213"/>
      <c r="M16" s="1"/>
      <c r="N16" s="1"/>
      <c r="O16" s="196" t="s">
        <v>38</v>
      </c>
      <c r="U16" s="191"/>
    </row>
    <row r="17" spans="1:21" ht="16.149999999999999" thickBot="1">
      <c r="A17" s="1"/>
      <c r="B17" s="386"/>
      <c r="C17" s="384"/>
      <c r="D17" s="383"/>
      <c r="E17" s="107" t="str">
        <f>IF(VEd&lt;=VRdmax,"≤","&gt;")</f>
        <v>≤</v>
      </c>
      <c r="F17" s="161" t="s">
        <v>141</v>
      </c>
      <c r="G17" s="161" t="s">
        <v>62</v>
      </c>
      <c r="H17" s="187">
        <f>VRdmax</f>
        <v>498.15000000000009</v>
      </c>
      <c r="I17" s="18"/>
      <c r="L17" s="213"/>
      <c r="M17" s="1"/>
      <c r="N17" s="1"/>
      <c r="O17" s="197" t="s">
        <v>39</v>
      </c>
      <c r="U17" s="191"/>
    </row>
    <row r="18" spans="1:21" ht="21" customHeight="1" thickBot="1">
      <c r="A18" s="1"/>
      <c r="B18" s="375" t="str">
        <f>IF(OR(Calcul!$I$26="augmenter bw et/ou d",Calcul!$L$32&lt;&gt;"OK",Calcul!$C$32&lt;&gt;"OK",Calcul!$I$36&lt;&gt;"OK"),"augmenter bw et/ou d","Les dimensions du coffrage sont suffisantes")</f>
        <v>Les dimensions du coffrage sont suffisantes</v>
      </c>
      <c r="C18" s="330"/>
      <c r="D18" s="330"/>
      <c r="E18" s="330">
        <v>1</v>
      </c>
      <c r="F18" s="330"/>
      <c r="G18" s="330"/>
      <c r="H18" s="331"/>
      <c r="I18" s="18"/>
      <c r="J18" s="11"/>
      <c r="L18" s="213"/>
      <c r="M18" s="1"/>
      <c r="N18" s="1"/>
      <c r="O18" s="198" t="s">
        <v>40</v>
      </c>
      <c r="U18" s="191"/>
    </row>
    <row r="19" spans="1:21" ht="21.75" customHeight="1" thickBot="1">
      <c r="A19" s="1"/>
      <c r="B19" s="376" t="str">
        <f>IF(Calcul!$I$27="Pas d'armatures d'effort tranchant nécessaires",IF(Chxvmin="Dalles bénéficiant d'un effet de redistribution transversale ","Pas besoin d'armatures d'effort tranchant du tout","Section d'armature d'effort tranchant minimum requise"),"Armatures d'effort tranchant requises et à calculer")</f>
        <v>Armatures d'effort tranchant requises et à calculer</v>
      </c>
      <c r="C19" s="377"/>
      <c r="D19" s="377"/>
      <c r="E19" s="377"/>
      <c r="F19" s="377"/>
      <c r="G19" s="377"/>
      <c r="H19" s="378"/>
      <c r="I19" s="18"/>
      <c r="J19" s="11"/>
      <c r="L19" s="213"/>
      <c r="M19" s="1"/>
      <c r="N19" s="1"/>
      <c r="O19" s="199" t="s">
        <v>41</v>
      </c>
      <c r="U19" s="191"/>
    </row>
    <row r="20" spans="1:21" ht="21" customHeight="1" thickBot="1">
      <c r="A20" s="1"/>
      <c r="B20" s="379">
        <v>2</v>
      </c>
      <c r="C20" s="380"/>
      <c r="D20" s="380"/>
      <c r="E20" s="380"/>
      <c r="F20" s="380"/>
      <c r="G20" s="380"/>
      <c r="H20" s="381"/>
      <c r="I20" s="18"/>
      <c r="J20" s="11"/>
      <c r="K20" s="11"/>
      <c r="L20" s="213"/>
      <c r="M20" s="1"/>
      <c r="N20" s="1"/>
      <c r="U20" s="191"/>
    </row>
    <row r="21" spans="1:21" ht="40.5" customHeight="1" thickBot="1">
      <c r="A21" s="1"/>
      <c r="B21" s="188" t="s">
        <v>142</v>
      </c>
      <c r="C21" s="123">
        <f>100*invthetapm</f>
        <v>2</v>
      </c>
      <c r="D21" s="163" t="str">
        <f>IF(C21&gt;F21,"&gt;","≤")</f>
        <v>≤</v>
      </c>
      <c r="E21" s="124" t="s">
        <v>143</v>
      </c>
      <c r="F21" s="125">
        <f>invthetafin</f>
        <v>15.213866305329718</v>
      </c>
      <c r="G21" s="277" t="s">
        <v>144</v>
      </c>
      <c r="H21" s="346"/>
      <c r="I21" s="201" t="str">
        <f>IF(F21&gt;K21,"&gt;","≤")</f>
        <v>≤</v>
      </c>
      <c r="J21" s="214" t="s">
        <v>145</v>
      </c>
      <c r="K21" s="200">
        <f>100*invthetaGM</f>
        <v>25.875000000000011</v>
      </c>
      <c r="L21" s="213"/>
      <c r="M21" s="1"/>
      <c r="N21" s="1"/>
      <c r="U21" s="191"/>
    </row>
    <row r="22" spans="1:21" ht="20.45">
      <c r="B22" s="281" t="s">
        <v>146</v>
      </c>
      <c r="C22" s="277"/>
      <c r="D22" s="89" t="s">
        <v>147</v>
      </c>
      <c r="E22" s="122">
        <v>20</v>
      </c>
      <c r="F22" s="277" t="s">
        <v>66</v>
      </c>
      <c r="G22" s="277"/>
      <c r="H22" s="278"/>
      <c r="I22" s="18"/>
      <c r="L22" s="204"/>
      <c r="U22" s="191"/>
    </row>
    <row r="23" spans="1:21" ht="20.45">
      <c r="B23" s="369" t="s">
        <v>148</v>
      </c>
      <c r="C23" s="370"/>
      <c r="D23" s="89" t="s">
        <v>149</v>
      </c>
      <c r="E23" s="23">
        <f>IF(A_s2=0,0.75*d*(1+cotgalpha),MIN(0.75*d*(1+cotgalpha),15*phimax))</f>
        <v>36.900000000000006</v>
      </c>
      <c r="F23" s="370" t="s">
        <v>66</v>
      </c>
      <c r="G23" s="370"/>
      <c r="H23" s="371"/>
      <c r="I23" s="18"/>
      <c r="L23" s="204"/>
      <c r="U23" s="191"/>
    </row>
    <row r="24" spans="1:21" ht="16.149999999999999" thickBot="1">
      <c r="B24" s="366" t="s">
        <v>150</v>
      </c>
      <c r="C24" s="367"/>
      <c r="D24" s="90" t="s">
        <v>151</v>
      </c>
      <c r="E24" s="24">
        <f>MIN(s0test,slmax)</f>
        <v>20</v>
      </c>
      <c r="F24" s="367" t="s">
        <v>66</v>
      </c>
      <c r="G24" s="367"/>
      <c r="H24" s="368"/>
      <c r="I24" s="18"/>
      <c r="L24" s="204"/>
      <c r="U24" s="191"/>
    </row>
    <row r="25" spans="1:21" ht="31.15" thickBot="1">
      <c r="B25" s="372" t="s">
        <v>152</v>
      </c>
      <c r="C25" s="373"/>
      <c r="D25" s="189" t="s">
        <v>153</v>
      </c>
      <c r="E25" s="190">
        <f>invthetafin*0.01*s0</f>
        <v>3.0427732610659435</v>
      </c>
      <c r="F25" s="373" t="s">
        <v>117</v>
      </c>
      <c r="G25" s="373"/>
      <c r="H25" s="374"/>
      <c r="I25" s="18"/>
      <c r="L25" s="204"/>
      <c r="U25" s="191"/>
    </row>
    <row r="26" spans="1:21" ht="15.75" customHeight="1" thickBot="1">
      <c r="B26" s="18"/>
      <c r="C26" s="18"/>
      <c r="D26" s="18"/>
      <c r="E26" s="18"/>
      <c r="F26" s="18"/>
      <c r="G26" s="18"/>
      <c r="H26" s="206"/>
      <c r="I26" s="18"/>
      <c r="L26" s="204"/>
      <c r="O26" s="389" t="s">
        <v>154</v>
      </c>
      <c r="P26" s="390"/>
      <c r="Q26" s="391"/>
      <c r="R26" s="392" t="s">
        <v>155</v>
      </c>
      <c r="S26" s="393"/>
      <c r="T26" s="394"/>
      <c r="U26" s="191"/>
    </row>
    <row r="27" spans="1:21" ht="15.75" customHeight="1" thickBot="1">
      <c r="B27" s="178" t="s">
        <v>156</v>
      </c>
      <c r="C27" s="178"/>
      <c r="D27" s="178"/>
      <c r="E27" s="178"/>
      <c r="F27" s="178"/>
      <c r="G27" s="178"/>
      <c r="H27" s="207"/>
      <c r="I27" s="18"/>
      <c r="L27" s="204"/>
      <c r="O27" s="203"/>
      <c r="P27" s="12"/>
      <c r="Q27" s="202"/>
      <c r="T27" s="191"/>
      <c r="U27" s="191"/>
    </row>
    <row r="28" spans="1:21" ht="22.5" customHeight="1">
      <c r="A28" s="1"/>
      <c r="B28" s="362" t="s">
        <v>157</v>
      </c>
      <c r="C28" s="363"/>
      <c r="D28" s="185" t="s">
        <v>158</v>
      </c>
      <c r="E28" s="186">
        <v>6</v>
      </c>
      <c r="F28" s="364" t="s">
        <v>105</v>
      </c>
      <c r="G28" s="364"/>
      <c r="H28" s="365"/>
      <c r="I28" s="18"/>
      <c r="L28" s="204"/>
      <c r="O28" s="203"/>
      <c r="P28" s="12"/>
      <c r="Q28" s="191"/>
      <c r="T28" s="191"/>
      <c r="U28" s="191"/>
    </row>
    <row r="29" spans="1:21" ht="15" customHeight="1">
      <c r="B29" s="355" t="s">
        <v>159</v>
      </c>
      <c r="C29" s="356"/>
      <c r="D29" s="356"/>
      <c r="E29" s="109">
        <v>1</v>
      </c>
      <c r="F29" s="353" t="s">
        <v>160</v>
      </c>
      <c r="G29" s="353"/>
      <c r="H29" s="354"/>
      <c r="I29" s="4"/>
      <c r="L29" s="204"/>
      <c r="O29" s="204"/>
      <c r="Q29" s="211"/>
      <c r="R29" s="1"/>
      <c r="S29" s="1"/>
      <c r="T29" s="191"/>
      <c r="U29" s="191"/>
    </row>
    <row r="30" spans="1:21" ht="15" customHeight="1">
      <c r="B30" s="357"/>
      <c r="C30" s="356"/>
      <c r="D30" s="356"/>
      <c r="E30" s="109">
        <v>1</v>
      </c>
      <c r="F30" s="353" t="s">
        <v>161</v>
      </c>
      <c r="G30" s="353"/>
      <c r="H30" s="354"/>
      <c r="L30" s="204"/>
      <c r="O30" s="204"/>
      <c r="Q30" s="191"/>
      <c r="T30" s="191"/>
      <c r="U30" s="191"/>
    </row>
    <row r="31" spans="1:21" ht="15" customHeight="1">
      <c r="B31" s="357"/>
      <c r="C31" s="356"/>
      <c r="D31" s="356"/>
      <c r="E31" s="109">
        <v>0</v>
      </c>
      <c r="F31" s="353" t="s">
        <v>162</v>
      </c>
      <c r="G31" s="353"/>
      <c r="H31" s="354"/>
      <c r="L31" s="204"/>
      <c r="O31" s="204"/>
      <c r="Q31" s="191"/>
      <c r="T31" s="191"/>
      <c r="U31" s="191"/>
    </row>
    <row r="32" spans="1:21" ht="33.75" customHeight="1">
      <c r="B32" s="357" t="s">
        <v>163</v>
      </c>
      <c r="C32" s="356"/>
      <c r="D32" s="117" t="s">
        <v>164</v>
      </c>
      <c r="E32" s="118">
        <f>1/(s0*0.01)</f>
        <v>5</v>
      </c>
      <c r="F32" s="356"/>
      <c r="G32" s="356"/>
      <c r="H32" s="361"/>
      <c r="L32" s="204"/>
      <c r="O32" s="204"/>
      <c r="Q32" s="191"/>
      <c r="T32" s="191"/>
      <c r="U32" s="191"/>
    </row>
    <row r="33" spans="1:21" ht="20.45">
      <c r="B33" s="358" t="s">
        <v>165</v>
      </c>
      <c r="C33" s="359"/>
      <c r="D33" s="108" t="s">
        <v>166</v>
      </c>
      <c r="E33" s="118">
        <f>n*PI()*(0.1*phiw)^2/4*(2*(ncadres+nétriers)+népingles)</f>
        <v>5.6548667764616294</v>
      </c>
      <c r="F33" s="359" t="s">
        <v>117</v>
      </c>
      <c r="G33" s="359"/>
      <c r="H33" s="360"/>
      <c r="L33" s="204"/>
      <c r="O33" s="204"/>
      <c r="Q33" s="191"/>
      <c r="T33" s="191"/>
      <c r="U33" s="191"/>
    </row>
    <row r="34" spans="1:21" ht="16.899999999999999" thickBot="1">
      <c r="B34" s="110" t="s">
        <v>152</v>
      </c>
      <c r="C34" s="111" t="s">
        <v>117</v>
      </c>
      <c r="D34" s="112">
        <f>Aswrequis</f>
        <v>3.0427732610659435</v>
      </c>
      <c r="E34" s="56" t="str">
        <f>IF(D34&lt;=H34,"≤","&gt;")</f>
        <v>≤</v>
      </c>
      <c r="F34" s="111" t="s">
        <v>165</v>
      </c>
      <c r="G34" s="111" t="s">
        <v>117</v>
      </c>
      <c r="H34" s="113">
        <f>Asw</f>
        <v>5.6548667764616294</v>
      </c>
      <c r="L34" s="204"/>
      <c r="O34" s="204"/>
      <c r="Q34" s="191"/>
      <c r="T34" s="191"/>
      <c r="U34" s="191"/>
    </row>
    <row r="35" spans="1:21" ht="15" thickBot="1">
      <c r="H35" s="208"/>
      <c r="L35" s="204"/>
      <c r="O35" s="193"/>
      <c r="P35" s="194"/>
      <c r="Q35" s="205"/>
      <c r="R35" s="194"/>
      <c r="S35" s="194"/>
      <c r="T35" s="205"/>
      <c r="U35" s="191"/>
    </row>
    <row r="36" spans="1:21">
      <c r="L36" s="204"/>
      <c r="U36" s="191"/>
    </row>
    <row r="37" spans="1:21">
      <c r="A37" s="1"/>
      <c r="I37" s="18"/>
      <c r="L37" s="204"/>
      <c r="U37" s="191"/>
    </row>
    <row r="38" spans="1:21" ht="15" thickBot="1">
      <c r="L38" s="193"/>
      <c r="M38" s="194"/>
      <c r="N38" s="194"/>
      <c r="O38" s="194"/>
      <c r="P38" s="194"/>
      <c r="Q38" s="194"/>
      <c r="R38" s="194"/>
      <c r="S38" s="194"/>
      <c r="T38" s="194"/>
      <c r="U38" s="205"/>
    </row>
    <row r="42" spans="1:21">
      <c r="J42" s="12"/>
      <c r="L42" s="1"/>
      <c r="M42" s="1"/>
      <c r="N42" s="1"/>
    </row>
  </sheetData>
  <mergeCells count="39">
    <mergeCell ref="O26:Q26"/>
    <mergeCell ref="R26:T26"/>
    <mergeCell ref="L5:U5"/>
    <mergeCell ref="L12:M12"/>
    <mergeCell ref="N12:R12"/>
    <mergeCell ref="B18:H18"/>
    <mergeCell ref="B19:H19"/>
    <mergeCell ref="B20:H20"/>
    <mergeCell ref="G21:H21"/>
    <mergeCell ref="B5:H5"/>
    <mergeCell ref="B15:C15"/>
    <mergeCell ref="F15:H15"/>
    <mergeCell ref="B12:D12"/>
    <mergeCell ref="E12:H12"/>
    <mergeCell ref="D16:D17"/>
    <mergeCell ref="C16:C17"/>
    <mergeCell ref="B16:B17"/>
    <mergeCell ref="B13:C13"/>
    <mergeCell ref="F13:H13"/>
    <mergeCell ref="B14:C14"/>
    <mergeCell ref="F14:H14"/>
    <mergeCell ref="B22:C22"/>
    <mergeCell ref="F22:H22"/>
    <mergeCell ref="B28:C28"/>
    <mergeCell ref="F28:H28"/>
    <mergeCell ref="B24:C24"/>
    <mergeCell ref="F24:H24"/>
    <mergeCell ref="B23:C23"/>
    <mergeCell ref="F23:H23"/>
    <mergeCell ref="B25:C25"/>
    <mergeCell ref="F25:H25"/>
    <mergeCell ref="F30:H30"/>
    <mergeCell ref="F29:H29"/>
    <mergeCell ref="B29:D31"/>
    <mergeCell ref="B32:C32"/>
    <mergeCell ref="B33:C33"/>
    <mergeCell ref="F33:H33"/>
    <mergeCell ref="F32:H32"/>
    <mergeCell ref="F31:H31"/>
  </mergeCells>
  <conditionalFormatting sqref="B18">
    <cfRule type="expression" dxfId="19" priority="9">
      <formula>$B$18&lt;&gt;"Les dimensions du coffrage sont suffisantes"</formula>
    </cfRule>
    <cfRule type="expression" dxfId="18" priority="10">
      <formula>$B$18="Les dimensions du coffrage sont suffisantes"</formula>
    </cfRule>
  </conditionalFormatting>
  <conditionalFormatting sqref="B19">
    <cfRule type="expression" dxfId="17" priority="7">
      <formula>$B$19&lt;&gt;"Pas besoin d'armatures d'effort tranchant du tout"</formula>
    </cfRule>
    <cfRule type="expression" dxfId="16" priority="8">
      <formula>$B$19="Pas besoin d'armatures d'effort tranchant du tout"</formula>
    </cfRule>
  </conditionalFormatting>
  <conditionalFormatting sqref="L12 N12">
    <cfRule type="expression" dxfId="15" priority="15">
      <formula>$E$12=1</formula>
    </cfRule>
  </conditionalFormatting>
  <conditionalFormatting sqref="E17">
    <cfRule type="expression" dxfId="14" priority="5">
      <formula>$E$17&lt;&gt;"&gt;"</formula>
    </cfRule>
    <cfRule type="expression" dxfId="13" priority="6">
      <formula>$E$17="&gt;"</formula>
    </cfRule>
  </conditionalFormatting>
  <conditionalFormatting sqref="E34">
    <cfRule type="expression" dxfId="12" priority="3">
      <formula>$E$34&lt;&gt;"&gt;"</formula>
    </cfRule>
    <cfRule type="expression" dxfId="11" priority="4">
      <formula>$E$34="&gt;"</formula>
    </cfRule>
  </conditionalFormatting>
  <conditionalFormatting sqref="E16">
    <cfRule type="expression" dxfId="10" priority="1">
      <formula>$E$16&lt;&gt;"&gt;"</formula>
    </cfRule>
    <cfRule type="expression" dxfId="9" priority="2">
      <formula>$E$16="&gt;"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Drop Down 3">
              <controlPr defaultSize="0" autoLine="0" autoPict="0" macro="[0]!Disparitions_lignes_methodetheta">
                <anchor moveWithCells="1">
                  <from>
                    <xdr:col>4</xdr:col>
                    <xdr:colOff>304800</xdr:colOff>
                    <xdr:row>11</xdr:row>
                    <xdr:rowOff>137160</xdr:rowOff>
                  </from>
                  <to>
                    <xdr:col>7</xdr:col>
                    <xdr:colOff>807720</xdr:colOff>
                    <xdr:row>11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deter_invtheta0">
                <anchor moveWithCells="1" sizeWithCells="1">
                  <from>
                    <xdr:col>3</xdr:col>
                    <xdr:colOff>685800</xdr:colOff>
                    <xdr:row>19</xdr:row>
                    <xdr:rowOff>7620</xdr:rowOff>
                  </from>
                  <to>
                    <xdr:col>5</xdr:col>
                    <xdr:colOff>533400</xdr:colOff>
                    <xdr:row>19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Y62"/>
  <sheetViews>
    <sheetView workbookViewId="0">
      <selection activeCell="D3" sqref="D3"/>
    </sheetView>
  </sheetViews>
  <sheetFormatPr defaultColWidth="11.42578125" defaultRowHeight="14.45"/>
  <cols>
    <col min="4" max="4" width="8.42578125" bestFit="1" customWidth="1"/>
    <col min="5" max="5" width="17.42578125" bestFit="1" customWidth="1"/>
    <col min="6" max="6" width="62.140625" bestFit="1" customWidth="1"/>
    <col min="17" max="17" width="37.85546875" bestFit="1" customWidth="1"/>
  </cols>
  <sheetData>
    <row r="1" spans="1:25" ht="18.75" customHeight="1">
      <c r="A1" s="18"/>
      <c r="B1" s="18"/>
      <c r="C1" s="18"/>
      <c r="D1" s="18"/>
      <c r="E1" s="18"/>
      <c r="F1" s="18"/>
      <c r="G1" s="4"/>
      <c r="H1" s="4"/>
      <c r="I1" s="4"/>
      <c r="J1" s="4"/>
      <c r="K1" s="4"/>
      <c r="L1" s="4"/>
      <c r="M1" s="4"/>
      <c r="P1" s="2"/>
      <c r="Q1" s="6" t="s">
        <v>167</v>
      </c>
      <c r="R1" s="2" t="s">
        <v>53</v>
      </c>
      <c r="S1" s="2" t="s">
        <v>168</v>
      </c>
      <c r="T1" s="5" t="s">
        <v>68</v>
      </c>
      <c r="U1" s="8">
        <v>400</v>
      </c>
      <c r="V1" s="87">
        <v>1</v>
      </c>
      <c r="W1" s="87" t="s">
        <v>169</v>
      </c>
      <c r="X1" s="87" t="s">
        <v>170</v>
      </c>
      <c r="Y1" s="8" t="s">
        <v>171</v>
      </c>
    </row>
    <row r="2" spans="1:25" ht="18" customHeight="1">
      <c r="A2" s="18"/>
      <c r="B2" s="400" t="s">
        <v>172</v>
      </c>
      <c r="C2" s="400"/>
      <c r="D2" s="400"/>
      <c r="E2" s="400"/>
      <c r="F2" s="18"/>
      <c r="G2" s="4"/>
      <c r="H2" s="4"/>
      <c r="I2" s="4"/>
      <c r="J2" s="4"/>
      <c r="K2" s="4"/>
      <c r="L2" s="4"/>
      <c r="M2" s="4"/>
      <c r="P2" s="2"/>
      <c r="Q2" s="2" t="s">
        <v>56</v>
      </c>
      <c r="R2" s="2" t="s">
        <v>173</v>
      </c>
      <c r="S2" s="2" t="s">
        <v>174</v>
      </c>
      <c r="T2" s="5" t="s">
        <v>175</v>
      </c>
      <c r="U2" s="8">
        <v>500</v>
      </c>
      <c r="V2" s="87">
        <v>2</v>
      </c>
      <c r="W2" s="87" t="s">
        <v>176</v>
      </c>
      <c r="X2" s="87" t="s">
        <v>177</v>
      </c>
      <c r="Y2" s="9" t="s">
        <v>178</v>
      </c>
    </row>
    <row r="3" spans="1:25" ht="15.6">
      <c r="A3" s="18"/>
      <c r="B3" s="25" t="s">
        <v>179</v>
      </c>
      <c r="C3" s="25" t="s">
        <v>62</v>
      </c>
      <c r="D3" s="26">
        <f>IF(AND(ChxReductionV=1,ChxPrédoChrgRéparties="Oui"),VEddepp_u-pp_u*0.01*d,VEddepp_u)</f>
        <v>292.89999999999998</v>
      </c>
      <c r="E3" s="27" t="s">
        <v>180</v>
      </c>
      <c r="F3" s="41" t="s">
        <v>181</v>
      </c>
      <c r="G3" s="4"/>
      <c r="H3" s="4"/>
      <c r="I3" s="4"/>
      <c r="J3" s="4"/>
      <c r="K3" s="4"/>
      <c r="L3" s="4"/>
      <c r="M3" s="4"/>
      <c r="Q3" s="2" t="s">
        <v>182</v>
      </c>
      <c r="R3" s="2" t="s">
        <v>183</v>
      </c>
      <c r="T3" s="4"/>
      <c r="U3" s="87"/>
      <c r="V3" s="87">
        <v>3</v>
      </c>
      <c r="W3" s="87" t="s">
        <v>184</v>
      </c>
      <c r="X3" s="87" t="s">
        <v>185</v>
      </c>
      <c r="Y3" s="87"/>
    </row>
    <row r="4" spans="1:25" ht="15.6">
      <c r="A4" s="18"/>
      <c r="B4" s="356" t="s">
        <v>186</v>
      </c>
      <c r="C4" s="356"/>
      <c r="D4" s="28" t="str">
        <f>IF(AND(0.5*d&lt;=av,av&lt;=2*d),"Oui","Non")</f>
        <v>Oui</v>
      </c>
      <c r="E4" s="27" t="s">
        <v>187</v>
      </c>
      <c r="F4" s="41" t="s">
        <v>188</v>
      </c>
      <c r="G4" s="4"/>
      <c r="H4" s="4"/>
      <c r="I4" s="4"/>
      <c r="J4" s="4"/>
      <c r="K4" s="4"/>
      <c r="L4" s="4"/>
      <c r="M4" s="4"/>
      <c r="T4" s="4"/>
      <c r="U4" s="8"/>
      <c r="V4" s="87"/>
      <c r="W4" s="87" t="s">
        <v>60</v>
      </c>
      <c r="X4" s="87" t="s">
        <v>58</v>
      </c>
      <c r="Y4" s="87"/>
    </row>
    <row r="5" spans="1:25">
      <c r="A5" s="18"/>
      <c r="B5" s="29" t="s">
        <v>189</v>
      </c>
      <c r="C5" s="25"/>
      <c r="D5" s="30">
        <f>MAX(1/4,av/(2*d))</f>
        <v>0.91463414634146334</v>
      </c>
      <c r="E5" s="27" t="s">
        <v>190</v>
      </c>
      <c r="F5" s="42"/>
      <c r="G5" s="4"/>
      <c r="H5" s="4"/>
      <c r="I5" s="4"/>
      <c r="J5" s="4"/>
      <c r="K5" s="4"/>
      <c r="L5" s="4"/>
      <c r="M5" s="4"/>
      <c r="T5" s="4"/>
      <c r="U5" s="8"/>
      <c r="V5" s="87"/>
      <c r="W5" s="87" t="s">
        <v>191</v>
      </c>
      <c r="X5" s="87" t="s">
        <v>192</v>
      </c>
      <c r="Y5" s="87"/>
    </row>
    <row r="6" spans="1:25" ht="15.6">
      <c r="A6" s="18"/>
      <c r="B6" s="25" t="s">
        <v>193</v>
      </c>
      <c r="C6" s="25" t="s">
        <v>62</v>
      </c>
      <c r="D6" s="26">
        <f>IF(ChxReductionV=1,IF(OR(ChxChrgConcentrées=2,CondPriseEnCpteChargConcentrée="Non"),VEd0,VEd0+beta*VEddeGP_u),VEd)</f>
        <v>292.89999999999998</v>
      </c>
      <c r="E6" s="27" t="s">
        <v>187</v>
      </c>
      <c r="F6" s="41" t="s">
        <v>194</v>
      </c>
      <c r="G6" s="4"/>
      <c r="H6" s="4"/>
      <c r="I6" s="4"/>
      <c r="J6" s="4"/>
      <c r="K6" s="4"/>
      <c r="L6" s="4"/>
      <c r="M6" s="4"/>
      <c r="T6" s="4"/>
      <c r="U6" s="8"/>
      <c r="V6" s="87"/>
      <c r="W6" s="87" t="s">
        <v>195</v>
      </c>
      <c r="X6" s="87" t="s">
        <v>196</v>
      </c>
      <c r="Y6" s="87"/>
    </row>
    <row r="7" spans="1:25" ht="15.6">
      <c r="A7" s="18"/>
      <c r="B7" s="356" t="s">
        <v>197</v>
      </c>
      <c r="C7" s="356"/>
      <c r="D7" s="169">
        <f>IF(ChxChrgConcentrées=1,VEd-VEddeGP_u,VEd)</f>
        <v>292.89999999999998</v>
      </c>
      <c r="E7" s="25" t="s">
        <v>62</v>
      </c>
      <c r="F7" s="86" t="s">
        <v>198</v>
      </c>
      <c r="G7" s="85"/>
      <c r="H7" s="85"/>
      <c r="J7" s="4"/>
      <c r="K7" s="4"/>
      <c r="L7" s="4"/>
      <c r="M7" s="4"/>
      <c r="T7" s="4"/>
      <c r="U7" s="8"/>
      <c r="V7" s="87"/>
      <c r="W7" s="87" t="s">
        <v>199</v>
      </c>
      <c r="X7" s="87"/>
      <c r="Y7" s="87"/>
    </row>
    <row r="8" spans="1:25">
      <c r="A8" s="18"/>
      <c r="B8" s="18"/>
      <c r="C8" s="18"/>
      <c r="D8" s="84"/>
      <c r="E8" s="18"/>
      <c r="G8" s="18"/>
      <c r="H8" s="18"/>
      <c r="I8" s="4"/>
      <c r="J8" s="4"/>
      <c r="K8" s="4"/>
      <c r="L8" s="4"/>
      <c r="M8" s="4"/>
      <c r="T8" s="4"/>
      <c r="U8" s="8"/>
      <c r="V8" s="87"/>
      <c r="W8" s="87" t="s">
        <v>200</v>
      </c>
      <c r="X8" s="87"/>
      <c r="Y8" s="87"/>
    </row>
    <row r="9" spans="1:25">
      <c r="A9" s="18"/>
      <c r="B9" s="400" t="s">
        <v>78</v>
      </c>
      <c r="C9" s="400"/>
      <c r="D9" s="400"/>
      <c r="E9" s="400"/>
      <c r="F9" s="42"/>
      <c r="G9" s="4"/>
      <c r="H9" s="4"/>
      <c r="I9" s="4"/>
      <c r="J9" s="4"/>
      <c r="K9" s="4"/>
      <c r="L9" s="4"/>
      <c r="M9" s="4"/>
      <c r="T9" s="4"/>
      <c r="U9" s="8"/>
      <c r="V9" s="87"/>
      <c r="W9" s="87" t="s">
        <v>201</v>
      </c>
      <c r="X9" s="87"/>
      <c r="Y9" s="87"/>
    </row>
    <row r="10" spans="1:25" ht="15.6">
      <c r="A10" s="18"/>
      <c r="B10" s="25" t="s">
        <v>86</v>
      </c>
      <c r="C10" s="25" t="s">
        <v>66</v>
      </c>
      <c r="D10" s="32">
        <f>IF(Section="rectangulaire",0,beffdonné)</f>
        <v>222</v>
      </c>
      <c r="E10" s="25"/>
      <c r="F10" s="42"/>
      <c r="G10" s="4"/>
      <c r="H10" s="4"/>
      <c r="I10" s="4"/>
      <c r="J10" s="4"/>
      <c r="K10" s="4"/>
      <c r="L10" s="4"/>
      <c r="M10" s="4"/>
      <c r="T10" s="4"/>
      <c r="U10" s="8"/>
      <c r="V10" s="87"/>
      <c r="W10" s="87"/>
      <c r="X10" s="87"/>
      <c r="Y10" s="87"/>
    </row>
    <row r="11" spans="1:25" ht="15.6">
      <c r="A11" s="18"/>
      <c r="B11" s="25" t="s">
        <v>88</v>
      </c>
      <c r="C11" s="25" t="s">
        <v>66</v>
      </c>
      <c r="D11" s="32">
        <f>IF(Section="rectangulaire",0,hfdonné)</f>
        <v>15</v>
      </c>
      <c r="E11" s="25"/>
      <c r="F11" s="42"/>
      <c r="G11" s="4"/>
      <c r="H11" s="4"/>
      <c r="I11" s="4"/>
      <c r="J11" s="4"/>
      <c r="K11" s="4"/>
      <c r="L11" s="4"/>
      <c r="M11" s="4"/>
      <c r="X11" s="87"/>
      <c r="Y11" s="87"/>
    </row>
    <row r="12" spans="1:25">
      <c r="A12" s="18"/>
      <c r="B12" s="33" t="s">
        <v>202</v>
      </c>
      <c r="C12" s="33" t="s">
        <v>66</v>
      </c>
      <c r="D12" s="34">
        <f>0.9*d</f>
        <v>44.28</v>
      </c>
      <c r="E12" s="27" t="s">
        <v>203</v>
      </c>
      <c r="F12" s="43" t="s">
        <v>204</v>
      </c>
      <c r="G12" s="4"/>
      <c r="H12" s="4"/>
      <c r="I12" s="4"/>
      <c r="J12" s="4"/>
      <c r="K12" s="4"/>
      <c r="L12" s="4"/>
      <c r="M12" s="4"/>
      <c r="Q12" s="4"/>
      <c r="R12" s="4"/>
      <c r="S12" s="4"/>
      <c r="T12" s="4"/>
      <c r="U12" s="8"/>
      <c r="V12" s="87"/>
      <c r="W12" s="87"/>
      <c r="X12" s="87"/>
      <c r="Y12" s="87"/>
    </row>
    <row r="13" spans="1:25" ht="16.149999999999999">
      <c r="A13" s="18"/>
      <c r="B13" s="25" t="s">
        <v>205</v>
      </c>
      <c r="C13" s="25" t="s">
        <v>120</v>
      </c>
      <c r="D13" s="32">
        <f>bw*(h-hf)+beff*hf</f>
        <v>4330</v>
      </c>
      <c r="E13" s="25"/>
      <c r="F13" s="43" t="s">
        <v>206</v>
      </c>
      <c r="G13" s="4"/>
      <c r="H13" s="4"/>
      <c r="M13" s="4"/>
      <c r="Q13" s="4"/>
      <c r="R13" s="4"/>
      <c r="S13" s="4"/>
      <c r="T13" s="4"/>
      <c r="U13" s="3"/>
    </row>
    <row r="14" spans="1:25">
      <c r="A14" s="18"/>
      <c r="B14" s="33" t="s">
        <v>207</v>
      </c>
      <c r="C14" s="33" t="s">
        <v>66</v>
      </c>
      <c r="D14" s="34">
        <f>h-d</f>
        <v>5.7999999999999972</v>
      </c>
      <c r="E14" s="35"/>
      <c r="F14" s="43" t="s">
        <v>208</v>
      </c>
      <c r="G14" s="4"/>
      <c r="H14" s="4"/>
      <c r="I14" s="4"/>
      <c r="J14" s="4"/>
      <c r="K14" s="4"/>
      <c r="L14" s="4"/>
      <c r="M14" s="4"/>
      <c r="Q14" s="4"/>
      <c r="R14" s="4"/>
      <c r="S14" s="4"/>
      <c r="T14" s="4"/>
      <c r="U14" s="3"/>
    </row>
    <row r="15" spans="1:25" ht="15.6">
      <c r="A15" s="18"/>
      <c r="B15" s="36" t="s">
        <v>209</v>
      </c>
      <c r="C15" s="33" t="s">
        <v>210</v>
      </c>
      <c r="D15" s="37">
        <f>IF(Calcul!I27="Armatures d'effort tranchant nécessaires",alpha*PI()/180,PI()/2)</f>
        <v>1.5707963267948966</v>
      </c>
      <c r="E15" s="35"/>
      <c r="F15" s="43" t="s">
        <v>211</v>
      </c>
      <c r="G15" s="4"/>
      <c r="H15" s="4"/>
      <c r="I15" s="4"/>
      <c r="J15" s="4"/>
      <c r="K15" s="4"/>
      <c r="L15" s="4"/>
      <c r="M15" s="4"/>
      <c r="Q15" s="4"/>
      <c r="R15" s="4"/>
      <c r="S15" s="4"/>
      <c r="T15" s="4"/>
      <c r="U15" s="3"/>
    </row>
    <row r="16" spans="1:25">
      <c r="A16" s="18"/>
      <c r="B16" s="25" t="s">
        <v>212</v>
      </c>
      <c r="C16" s="25"/>
      <c r="D16" s="38">
        <f>1/TAN(alpha_r)</f>
        <v>6.1257422745431001E-17</v>
      </c>
      <c r="E16" s="25"/>
      <c r="F16" s="41" t="s">
        <v>213</v>
      </c>
      <c r="G16" s="4"/>
      <c r="H16" s="4"/>
      <c r="I16" s="4"/>
      <c r="J16" s="4"/>
      <c r="K16" s="4"/>
      <c r="L16" s="4"/>
      <c r="M16" s="4"/>
      <c r="Q16" s="4"/>
      <c r="R16" s="4"/>
      <c r="S16" s="4"/>
      <c r="T16" s="4"/>
      <c r="U16" s="3"/>
    </row>
    <row r="17" spans="1:21" ht="15.6">
      <c r="A17" s="18"/>
      <c r="B17" s="10" t="s">
        <v>214</v>
      </c>
      <c r="C17" s="10" t="s">
        <v>105</v>
      </c>
      <c r="D17" s="7">
        <f>IF(Nbr_lits=1,phi_1,IF(Nbr_lits=2,MAX(phi_1,phi_2),MAX(phi_1,phi_2,phi_3)))</f>
        <v>12</v>
      </c>
      <c r="E17" s="35"/>
      <c r="F17" s="42"/>
      <c r="G17" s="4"/>
      <c r="H17" s="4"/>
      <c r="I17" s="4"/>
      <c r="J17" s="4"/>
      <c r="K17" s="4"/>
      <c r="L17" s="4"/>
      <c r="M17" s="4"/>
      <c r="Q17" s="4"/>
      <c r="R17" s="4"/>
      <c r="S17" s="4"/>
      <c r="T17" s="4"/>
      <c r="U17" s="3"/>
    </row>
    <row r="18" spans="1:21">
      <c r="A18" s="18"/>
      <c r="B18" s="18"/>
      <c r="C18" s="18"/>
      <c r="D18" s="18"/>
      <c r="E18" s="18"/>
      <c r="F18" s="42"/>
      <c r="G18" s="4"/>
      <c r="H18" s="4"/>
      <c r="I18" s="4"/>
      <c r="J18" s="4"/>
      <c r="K18" s="4"/>
      <c r="L18" s="4"/>
      <c r="M18" s="4"/>
      <c r="Q18" s="4"/>
      <c r="R18" s="4"/>
      <c r="S18" s="4"/>
      <c r="T18" s="4"/>
      <c r="U18" s="3"/>
    </row>
    <row r="19" spans="1:21">
      <c r="A19" s="18"/>
      <c r="B19" s="401" t="s">
        <v>91</v>
      </c>
      <c r="C19" s="401"/>
      <c r="D19" s="401"/>
      <c r="E19" s="401"/>
      <c r="F19" s="42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3"/>
    </row>
    <row r="20" spans="1:21" ht="15.6">
      <c r="A20" s="18"/>
      <c r="B20" s="25" t="s">
        <v>215</v>
      </c>
      <c r="C20" s="25"/>
      <c r="D20" s="28">
        <v>1</v>
      </c>
      <c r="E20" s="27" t="s">
        <v>216</v>
      </c>
      <c r="F20" s="42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3"/>
    </row>
    <row r="21" spans="1:21" ht="15.6">
      <c r="A21" s="18"/>
      <c r="B21" s="25" t="s">
        <v>217</v>
      </c>
      <c r="D21" s="28">
        <f>IF(ChxCombiELU="Permanente / Transitoire",1.5,IF(ChxCombiELU="Accidentelle",1.2,1.3))</f>
        <v>1.5</v>
      </c>
      <c r="E21" s="27" t="s">
        <v>218</v>
      </c>
      <c r="F21" s="119" t="s">
        <v>219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3"/>
    </row>
    <row r="22" spans="1:21" ht="15.6">
      <c r="A22" s="18"/>
      <c r="B22" s="33" t="s">
        <v>220</v>
      </c>
      <c r="C22" s="33" t="s">
        <v>94</v>
      </c>
      <c r="D22" s="39">
        <f>alphacc*fck/gammac</f>
        <v>16.666666666666668</v>
      </c>
      <c r="E22" s="27" t="s">
        <v>221</v>
      </c>
      <c r="F22" s="43" t="s">
        <v>222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3"/>
    </row>
    <row r="23" spans="1:21" ht="15.6">
      <c r="A23" s="18"/>
      <c r="B23" s="29" t="s">
        <v>223</v>
      </c>
      <c r="C23" s="25"/>
      <c r="D23" s="40">
        <f>IF(fywd&lt;0.8*fywk,IF(fck&lt;=60,0.6,MAX(0.9-fck/200,0.5)),0.6*(1-fck/250))</f>
        <v>0.54</v>
      </c>
      <c r="E23" s="27" t="s">
        <v>224</v>
      </c>
      <c r="F23" s="45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3"/>
    </row>
    <row r="24" spans="1:21">
      <c r="A24" s="18"/>
      <c r="B24" s="402" t="s">
        <v>95</v>
      </c>
      <c r="C24" s="402"/>
      <c r="D24" s="402"/>
      <c r="E24" s="402"/>
      <c r="F24" s="42"/>
      <c r="G24" s="4"/>
      <c r="H24" s="4"/>
      <c r="I24" s="4"/>
      <c r="Q24" s="4"/>
      <c r="R24" s="4"/>
      <c r="S24" s="4"/>
      <c r="T24" s="4"/>
      <c r="U24" s="3"/>
    </row>
    <row r="25" spans="1:21" ht="15.6">
      <c r="A25" s="18"/>
      <c r="B25" s="29" t="s">
        <v>225</v>
      </c>
      <c r="C25" s="25"/>
      <c r="D25" s="28">
        <f>IF(ChxCombiELU="Permanente / Transitoire",1.15,1)</f>
        <v>1.1499999999999999</v>
      </c>
      <c r="E25" s="27" t="s">
        <v>218</v>
      </c>
      <c r="F25" s="44" t="s">
        <v>226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3"/>
    </row>
    <row r="26" spans="1:21" ht="15.6">
      <c r="A26" s="18"/>
      <c r="B26" s="25" t="s">
        <v>227</v>
      </c>
      <c r="C26" s="25" t="s">
        <v>98</v>
      </c>
      <c r="D26" s="26">
        <f>fywk/gammas</f>
        <v>434.78260869565219</v>
      </c>
      <c r="E26" s="27" t="s">
        <v>228</v>
      </c>
      <c r="F26" s="43" t="s">
        <v>229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3"/>
    </row>
    <row r="27" spans="1:21">
      <c r="A27" s="18"/>
      <c r="B27" s="18"/>
      <c r="C27" s="18"/>
      <c r="D27" s="18"/>
      <c r="E27" s="18"/>
      <c r="F27" s="18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3"/>
    </row>
    <row r="28" spans="1:21" ht="15.6">
      <c r="A28" s="18"/>
      <c r="B28" s="356" t="s">
        <v>230</v>
      </c>
      <c r="C28" s="356"/>
      <c r="D28" s="356"/>
      <c r="E28" s="32" t="str">
        <f>IF(OR(ClExposition="XF",ClExposition="XA"),"XF,XA",ClExposition)</f>
        <v>XC4</v>
      </c>
      <c r="F28" s="18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3"/>
    </row>
    <row r="29" spans="1:21">
      <c r="A29" s="18"/>
      <c r="B29" s="18"/>
      <c r="C29" s="18"/>
      <c r="D29" s="18"/>
      <c r="E29" s="18"/>
      <c r="F29" s="18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3"/>
    </row>
    <row r="30" spans="1:21">
      <c r="A30" s="18"/>
      <c r="B30" s="18"/>
      <c r="C30" s="18"/>
      <c r="D30" s="18"/>
      <c r="E30" s="18"/>
      <c r="F30" s="18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3"/>
    </row>
    <row r="31" spans="1:21">
      <c r="A31" s="18"/>
      <c r="B31" s="18"/>
      <c r="C31" s="18"/>
      <c r="D31" s="18"/>
      <c r="E31" s="18"/>
      <c r="F31" s="18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3"/>
    </row>
    <row r="32" spans="1:2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3"/>
    </row>
    <row r="33" spans="1:2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3"/>
    </row>
    <row r="34" spans="1:2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3"/>
    </row>
    <row r="35" spans="1:2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3"/>
    </row>
    <row r="36" spans="1:2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3"/>
    </row>
    <row r="37" spans="1:2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3"/>
    </row>
    <row r="38" spans="1:2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3"/>
    </row>
    <row r="39" spans="1:2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3"/>
    </row>
    <row r="40" spans="1:2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3"/>
    </row>
    <row r="41" spans="1:2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3"/>
    </row>
    <row r="42" spans="1:2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3"/>
    </row>
    <row r="43" spans="1:2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3"/>
    </row>
    <row r="44" spans="1:2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3"/>
    </row>
    <row r="45" spans="1:2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3"/>
    </row>
    <row r="46" spans="1:2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3"/>
    </row>
    <row r="47" spans="1:2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3"/>
    </row>
    <row r="48" spans="1:2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3"/>
    </row>
    <row r="49" spans="1:2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3"/>
    </row>
    <row r="50" spans="1:2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3"/>
    </row>
    <row r="51" spans="1:2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3"/>
    </row>
    <row r="52" spans="1:2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3"/>
    </row>
    <row r="53" spans="1:2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3"/>
    </row>
    <row r="54" spans="1:2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3"/>
    </row>
    <row r="55" spans="1:2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1:2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1:2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1:2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</sheetData>
  <mergeCells count="7">
    <mergeCell ref="B7:C7"/>
    <mergeCell ref="B2:E2"/>
    <mergeCell ref="B9:E9"/>
    <mergeCell ref="B28:D28"/>
    <mergeCell ref="B19:E19"/>
    <mergeCell ref="B24:E24"/>
    <mergeCell ref="B4:C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X127"/>
  <sheetViews>
    <sheetView tabSelected="1" zoomScale="85" zoomScaleNormal="85" workbookViewId="0">
      <selection activeCell="D6" sqref="D6"/>
    </sheetView>
  </sheetViews>
  <sheetFormatPr defaultColWidth="11.42578125" defaultRowHeight="14.45"/>
  <cols>
    <col min="2" max="2" width="14.7109375" bestFit="1" customWidth="1"/>
    <col min="3" max="3" width="7.7109375" bestFit="1" customWidth="1"/>
    <col min="4" max="4" width="8.5703125" bestFit="1" customWidth="1"/>
    <col min="5" max="5" width="31.85546875" bestFit="1" customWidth="1"/>
    <col min="6" max="6" width="6.5703125" bestFit="1" customWidth="1"/>
    <col min="7" max="7" width="10.28515625" bestFit="1" customWidth="1"/>
    <col min="8" max="8" width="7.5703125" bestFit="1" customWidth="1"/>
    <col min="9" max="9" width="12.5703125" customWidth="1"/>
    <col min="10" max="10" width="10.28515625" bestFit="1" customWidth="1"/>
    <col min="11" max="11" width="23.85546875" bestFit="1" customWidth="1"/>
    <col min="12" max="12" width="12.5703125" bestFit="1" customWidth="1"/>
    <col min="13" max="13" width="8.7109375" bestFit="1" customWidth="1"/>
    <col min="14" max="14" width="24" bestFit="1" customWidth="1"/>
    <col min="15" max="15" width="7.7109375" bestFit="1" customWidth="1"/>
    <col min="16" max="16" width="3.42578125" bestFit="1" customWidth="1"/>
    <col min="17" max="17" width="5.85546875" bestFit="1" customWidth="1"/>
    <col min="18" max="18" width="14.7109375" bestFit="1" customWidth="1"/>
  </cols>
  <sheetData>
    <row r="1" spans="1:24" ht="15" thickBot="1">
      <c r="A1" s="4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4"/>
      <c r="U1" s="4"/>
      <c r="V1" s="1"/>
      <c r="W1" s="1"/>
      <c r="X1" s="1"/>
    </row>
    <row r="2" spans="1:24" ht="15.6">
      <c r="A2" s="4"/>
      <c r="B2" s="46" t="s">
        <v>231</v>
      </c>
      <c r="C2" s="47" t="s">
        <v>62</v>
      </c>
      <c r="D2" s="48">
        <f>10^(-3)*(CRdC*k*(100*rhol*fck)^(1/3)+kun*sigmacp)*10*bw*10*d</f>
        <v>42.100839879182608</v>
      </c>
      <c r="E2" s="430" t="s">
        <v>232</v>
      </c>
      <c r="F2" s="428" t="s">
        <v>233</v>
      </c>
      <c r="G2" s="429"/>
      <c r="H2" s="429"/>
      <c r="I2" s="429"/>
      <c r="J2" s="429"/>
      <c r="K2" s="429"/>
      <c r="L2" s="12"/>
      <c r="M2" s="12"/>
      <c r="N2" s="12"/>
      <c r="O2" s="12"/>
      <c r="P2" s="12"/>
      <c r="Q2" s="12"/>
      <c r="R2" s="18"/>
      <c r="S2" s="18"/>
      <c r="T2" s="4"/>
      <c r="U2" s="4"/>
      <c r="V2" s="1"/>
      <c r="W2" s="1"/>
      <c r="X2" s="1"/>
    </row>
    <row r="3" spans="1:24" ht="15.6">
      <c r="A3" s="4"/>
      <c r="B3" s="49" t="s">
        <v>234</v>
      </c>
      <c r="C3" s="25"/>
      <c r="D3" s="50">
        <f>0.18/gammac</f>
        <v>0.12</v>
      </c>
      <c r="E3" s="431"/>
      <c r="F3" s="31"/>
      <c r="G3" s="51"/>
      <c r="H3" s="51"/>
      <c r="I3" s="51"/>
      <c r="J3" s="51"/>
      <c r="K3" s="12"/>
      <c r="L3" s="12"/>
      <c r="M3" s="12"/>
      <c r="N3" s="12"/>
      <c r="O3" s="12"/>
      <c r="P3" s="12"/>
      <c r="Q3" s="12"/>
      <c r="R3" s="12"/>
      <c r="S3" s="12"/>
      <c r="U3" s="4"/>
      <c r="V3" s="1"/>
      <c r="W3" s="1"/>
      <c r="X3" s="1"/>
    </row>
    <row r="4" spans="1:24">
      <c r="A4" s="4"/>
      <c r="B4" s="49" t="s">
        <v>235</v>
      </c>
      <c r="C4" s="25"/>
      <c r="D4" s="50">
        <f>MIN(1+SQRT(200/(d*10)),2)</f>
        <v>1.6375767130633383</v>
      </c>
      <c r="E4" s="431"/>
      <c r="F4" s="31"/>
      <c r="G4" s="51"/>
      <c r="H4" s="51"/>
      <c r="I4" s="51"/>
      <c r="J4" s="51"/>
      <c r="K4" s="12"/>
      <c r="L4" s="12"/>
      <c r="M4" s="12"/>
      <c r="N4" s="12"/>
      <c r="O4" s="12"/>
      <c r="P4" s="12"/>
      <c r="Q4" s="12"/>
      <c r="R4" s="12"/>
      <c r="S4" s="12"/>
      <c r="U4" s="4"/>
      <c r="W4" s="1"/>
      <c r="X4" s="1"/>
    </row>
    <row r="5" spans="1:24" ht="15.6">
      <c r="A5" s="4"/>
      <c r="B5" s="52" t="s">
        <v>236</v>
      </c>
      <c r="C5" s="25"/>
      <c r="D5" s="53">
        <f>MIN(Asl/(bw*d),0.02)</f>
        <v>2.1138211382113821E-3</v>
      </c>
      <c r="E5" s="431"/>
      <c r="F5" s="426" t="s">
        <v>237</v>
      </c>
      <c r="G5" s="427"/>
      <c r="H5" s="427"/>
      <c r="I5" s="427"/>
      <c r="J5" s="427"/>
      <c r="K5" s="427"/>
      <c r="L5" s="12"/>
      <c r="M5" s="12"/>
      <c r="N5" s="12"/>
      <c r="O5" s="12"/>
      <c r="P5" s="12"/>
      <c r="Q5" s="12"/>
      <c r="R5" s="12"/>
      <c r="S5" s="12"/>
      <c r="U5" s="4"/>
      <c r="W5" s="1"/>
      <c r="X5" s="1"/>
    </row>
    <row r="6" spans="1:24" ht="15.6">
      <c r="B6" s="52" t="s">
        <v>238</v>
      </c>
      <c r="C6" s="25"/>
      <c r="D6" s="54">
        <v>0.15</v>
      </c>
      <c r="E6" s="431"/>
      <c r="F6" s="31"/>
      <c r="G6" s="51"/>
      <c r="H6" s="51"/>
      <c r="I6" s="51"/>
      <c r="J6" s="51"/>
      <c r="K6" s="12"/>
      <c r="L6" s="12"/>
      <c r="M6" s="12"/>
      <c r="N6" s="12"/>
      <c r="O6" s="12"/>
      <c r="P6" s="12"/>
      <c r="Q6" s="12"/>
      <c r="R6" s="12"/>
      <c r="S6" s="12"/>
      <c r="U6" s="4"/>
      <c r="W6" s="1"/>
      <c r="X6" s="1"/>
    </row>
    <row r="7" spans="1:24" ht="16.149999999999999" thickBot="1">
      <c r="A7" s="4"/>
      <c r="B7" s="55" t="s">
        <v>239</v>
      </c>
      <c r="C7" s="56" t="s">
        <v>94</v>
      </c>
      <c r="D7" s="57">
        <f>MIN(10^(-3)*NEd/(10^(-4)*Ac),0.2*fcd)</f>
        <v>0</v>
      </c>
      <c r="E7" s="431"/>
      <c r="F7" s="31"/>
      <c r="G7" s="31"/>
      <c r="H7" s="31"/>
      <c r="I7" s="31"/>
      <c r="J7" s="31"/>
      <c r="K7" s="12"/>
      <c r="L7" s="12"/>
      <c r="M7" s="12"/>
      <c r="N7" s="12"/>
      <c r="O7" s="12"/>
      <c r="P7" s="12"/>
      <c r="Q7" s="12"/>
      <c r="R7" s="12"/>
      <c r="S7" s="12"/>
      <c r="W7" s="1"/>
      <c r="X7" s="1"/>
    </row>
    <row r="8" spans="1:24" ht="15.6">
      <c r="A8" s="4"/>
      <c r="B8" s="46" t="s">
        <v>240</v>
      </c>
      <c r="C8" s="47" t="s">
        <v>62</v>
      </c>
      <c r="D8" s="58">
        <f>10^(-3)*(vmin+kun*sigmacp)*10*bw*10*d</f>
        <v>45.107176272158455</v>
      </c>
      <c r="E8" s="431"/>
      <c r="F8" s="428" t="s">
        <v>241</v>
      </c>
      <c r="G8" s="429"/>
      <c r="H8" s="429"/>
      <c r="I8" s="429"/>
      <c r="J8" s="429"/>
      <c r="K8" s="429"/>
      <c r="L8" s="18"/>
      <c r="M8" s="18"/>
      <c r="N8" s="18"/>
      <c r="O8" s="12"/>
      <c r="P8" s="12"/>
      <c r="Q8" s="12"/>
      <c r="R8" s="12"/>
      <c r="S8" s="12"/>
      <c r="W8" s="1"/>
      <c r="X8" s="1"/>
    </row>
    <row r="9" spans="1:24" ht="16.149999999999999" thickBot="1">
      <c r="A9" s="4"/>
      <c r="B9" s="59" t="s">
        <v>242</v>
      </c>
      <c r="C9" s="60" t="s">
        <v>94</v>
      </c>
      <c r="D9" s="61">
        <f>IF(Chxvmin="Poutres/dalles autres que celles ci-avant",0.035*k^(3/2)*fck^(1/2),0.23*fck^(1/2))</f>
        <v>0.36672501034275162</v>
      </c>
      <c r="E9" s="431"/>
      <c r="F9" s="51"/>
      <c r="G9" s="62"/>
      <c r="H9" s="31"/>
      <c r="I9" s="31"/>
      <c r="J9" s="31"/>
      <c r="K9" s="18"/>
      <c r="L9" s="18"/>
      <c r="M9" s="18"/>
      <c r="N9" s="18"/>
      <c r="O9" s="12"/>
      <c r="P9" s="12"/>
      <c r="Q9" s="12"/>
      <c r="R9" s="12"/>
      <c r="S9" s="12"/>
      <c r="W9" s="1"/>
      <c r="X9" s="1"/>
    </row>
    <row r="10" spans="1:24" ht="16.149999999999999" thickBot="1">
      <c r="A10" s="4"/>
      <c r="B10" s="92" t="s">
        <v>243</v>
      </c>
      <c r="C10" s="93" t="s">
        <v>62</v>
      </c>
      <c r="D10" s="94">
        <f>MAX(VRdC1,VRdC2)</f>
        <v>45.107176272158455</v>
      </c>
      <c r="E10" s="431"/>
      <c r="F10" s="428" t="s">
        <v>233</v>
      </c>
      <c r="G10" s="429"/>
      <c r="H10" s="429"/>
      <c r="I10" s="429"/>
      <c r="J10" s="429"/>
      <c r="K10" s="429"/>
      <c r="L10" s="12"/>
      <c r="M10" s="12"/>
      <c r="N10" s="18"/>
      <c r="O10" s="12"/>
      <c r="P10" s="12"/>
      <c r="Q10" s="12"/>
      <c r="R10" s="12"/>
      <c r="S10" s="12"/>
      <c r="W10" s="1"/>
      <c r="X10" s="1"/>
    </row>
    <row r="11" spans="1:24" ht="15.6">
      <c r="A11" s="4"/>
      <c r="B11" s="46" t="s">
        <v>244</v>
      </c>
      <c r="C11" s="47" t="s">
        <v>62</v>
      </c>
      <c r="D11" s="63">
        <f>0.5*0.01*bw*0.01*d*nu*1000*fcd</f>
        <v>553.5</v>
      </c>
      <c r="E11" s="99" t="s">
        <v>245</v>
      </c>
      <c r="F11" s="429" t="s">
        <v>246</v>
      </c>
      <c r="G11" s="429"/>
      <c r="H11" s="429"/>
      <c r="I11" s="429"/>
      <c r="J11" s="429"/>
      <c r="K11" s="429"/>
      <c r="L11" s="12"/>
      <c r="M11" s="12"/>
      <c r="N11" s="18"/>
      <c r="O11" s="12"/>
      <c r="P11" s="12"/>
      <c r="Q11" s="12"/>
      <c r="R11" s="12"/>
      <c r="S11" s="12"/>
      <c r="W11" s="1"/>
      <c r="X11" s="1"/>
    </row>
    <row r="12" spans="1:24" ht="15" thickBot="1">
      <c r="A12" s="4"/>
      <c r="B12" s="55" t="s">
        <v>247</v>
      </c>
      <c r="C12" s="56"/>
      <c r="D12" s="100">
        <f>0.6*(1-fck/250)</f>
        <v>0.54</v>
      </c>
      <c r="E12" s="101" t="s">
        <v>248</v>
      </c>
      <c r="F12" s="18"/>
      <c r="G12" s="18"/>
      <c r="H12" s="18"/>
      <c r="I12" s="18"/>
      <c r="J12" s="18"/>
      <c r="K12" s="18"/>
      <c r="L12" s="12"/>
      <c r="M12" s="12"/>
      <c r="N12" s="12"/>
      <c r="O12" s="12"/>
      <c r="P12" s="12"/>
      <c r="Q12" s="12"/>
      <c r="R12" s="12"/>
      <c r="S12" s="18"/>
      <c r="T12" s="4"/>
      <c r="U12" s="4"/>
      <c r="V12" s="1"/>
      <c r="W12" s="1"/>
      <c r="X12" s="1"/>
    </row>
    <row r="13" spans="1:24" ht="15.6">
      <c r="A13" s="4"/>
      <c r="B13" s="95" t="s">
        <v>249</v>
      </c>
      <c r="C13" s="96" t="s">
        <v>62</v>
      </c>
      <c r="D13" s="97">
        <f>0.01*bw*0.01*z*nu_1*1000*fcd*(cotgtheta+cotgalpha)/(1+cotgtheta^2)</f>
        <v>498.15000000000009</v>
      </c>
      <c r="E13" s="98" t="s">
        <v>250</v>
      </c>
      <c r="F13" s="437" t="s">
        <v>251</v>
      </c>
      <c r="G13" s="437"/>
      <c r="H13" s="437"/>
      <c r="I13" s="437"/>
      <c r="J13" s="437"/>
      <c r="K13" s="437"/>
      <c r="L13" s="12"/>
      <c r="M13" s="12"/>
      <c r="N13" s="12"/>
      <c r="O13" s="12"/>
      <c r="P13" s="12"/>
      <c r="Q13" s="12"/>
      <c r="R13" s="12"/>
      <c r="S13" s="18"/>
      <c r="T13" s="4"/>
      <c r="U13" s="4"/>
      <c r="V13" s="1"/>
      <c r="W13" s="1"/>
      <c r="X13" s="1"/>
    </row>
    <row r="14" spans="1:24" ht="16.149999999999999" thickBot="1">
      <c r="A14" s="4"/>
      <c r="B14" s="55" t="s">
        <v>252</v>
      </c>
      <c r="C14" s="56"/>
      <c r="D14" s="65">
        <f>IF(I27="Armatures d'effort tranchant nécessaires",alpha,90)</f>
        <v>90</v>
      </c>
      <c r="E14" s="27"/>
      <c r="F14" s="12"/>
      <c r="G14" s="18"/>
      <c r="H14" s="18"/>
      <c r="I14" s="18"/>
      <c r="J14" s="18"/>
      <c r="K14" s="18"/>
      <c r="L14" s="12"/>
      <c r="M14" s="12"/>
      <c r="N14" s="12"/>
      <c r="O14" s="12"/>
      <c r="P14" s="12"/>
      <c r="Q14" s="12"/>
      <c r="R14" s="12"/>
      <c r="S14" s="18"/>
      <c r="T14" s="4"/>
      <c r="U14" s="4"/>
      <c r="V14" s="1"/>
      <c r="W14" s="1"/>
      <c r="X14" s="1"/>
    </row>
    <row r="15" spans="1:24" ht="15" thickBot="1">
      <c r="A15" s="4"/>
      <c r="B15" s="18"/>
      <c r="C15" s="18"/>
      <c r="D15" s="66"/>
      <c r="E15" s="18"/>
      <c r="F15" s="18"/>
      <c r="G15" s="18"/>
      <c r="H15" s="18"/>
      <c r="I15" s="18"/>
      <c r="J15" s="18"/>
      <c r="K15" s="18"/>
      <c r="L15" s="18"/>
      <c r="M15" s="18"/>
      <c r="N15" s="12"/>
      <c r="O15" s="18"/>
      <c r="P15" s="18"/>
      <c r="Q15" s="18"/>
      <c r="R15" s="18"/>
      <c r="S15" s="18"/>
      <c r="T15" s="4"/>
    </row>
    <row r="16" spans="1:24">
      <c r="A16" s="4"/>
      <c r="B16" s="433" t="s">
        <v>253</v>
      </c>
      <c r="C16" s="364"/>
      <c r="D16" s="364"/>
      <c r="E16" s="365"/>
      <c r="F16" s="437" t="s">
        <v>254</v>
      </c>
      <c r="G16" s="437"/>
      <c r="H16" s="437"/>
      <c r="I16" s="437"/>
      <c r="J16" s="437"/>
      <c r="K16" s="437"/>
      <c r="L16" s="18"/>
      <c r="M16" s="18"/>
      <c r="N16" s="18"/>
      <c r="O16" s="18"/>
      <c r="P16" s="18"/>
      <c r="Q16" s="18"/>
      <c r="R16" s="18"/>
      <c r="S16" s="18"/>
      <c r="T16" s="4"/>
    </row>
    <row r="17" spans="1:20" ht="15.6">
      <c r="A17" s="4"/>
      <c r="B17" s="52" t="s">
        <v>255</v>
      </c>
      <c r="C17" s="29"/>
      <c r="D17" s="67">
        <f>VEd/(0.01*bw*0.01*z*nu_1*1000*fcd)</f>
        <v>0.29398775469236166</v>
      </c>
      <c r="E17" s="432" t="s">
        <v>256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4"/>
    </row>
    <row r="18" spans="1:20" ht="15.6">
      <c r="A18" s="4"/>
      <c r="B18" s="49" t="s">
        <v>257</v>
      </c>
      <c r="C18" s="25"/>
      <c r="D18" s="38">
        <f>(1+SQRT(1-4*nu_0*(nu_0-cotgalpha)))/(2*nu_0)</f>
        <v>3.0764525077118803</v>
      </c>
      <c r="E18" s="432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2"/>
    </row>
    <row r="19" spans="1:20" ht="15.6">
      <c r="A19" s="4"/>
      <c r="B19" s="49" t="s">
        <v>258</v>
      </c>
      <c r="C19" s="25"/>
      <c r="D19" s="38">
        <f>IF(cotgtheta_calc&lt;1,1,MIN(cotgtheta_calc,2.5))</f>
        <v>2.5</v>
      </c>
      <c r="E19" s="64" t="s">
        <v>259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2"/>
    </row>
    <row r="20" spans="1:20" ht="16.149999999999999" thickBot="1">
      <c r="A20" s="4"/>
      <c r="B20" s="59" t="s">
        <v>133</v>
      </c>
      <c r="C20" s="60" t="s">
        <v>134</v>
      </c>
      <c r="D20" s="88">
        <f>180/PI()*ATAN(1/cotgtheta_optimisé)</f>
        <v>21.801409486351812</v>
      </c>
      <c r="E20" s="68"/>
      <c r="F20" s="18"/>
      <c r="G20" s="18"/>
      <c r="H20" s="12"/>
      <c r="I20" s="12"/>
      <c r="J20" s="12"/>
      <c r="K20" s="12"/>
      <c r="L20" s="18"/>
      <c r="M20" s="18"/>
      <c r="N20" s="18"/>
      <c r="O20" s="18"/>
      <c r="P20" s="18"/>
      <c r="Q20" s="18"/>
      <c r="R20" s="18"/>
      <c r="S20" s="12"/>
    </row>
    <row r="21" spans="1:20">
      <c r="A21" s="4"/>
      <c r="B21" s="362" t="s">
        <v>260</v>
      </c>
      <c r="C21" s="364"/>
      <c r="D21" s="364"/>
      <c r="E21" s="365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2"/>
    </row>
    <row r="22" spans="1:20">
      <c r="A22" s="4"/>
      <c r="B22" s="49" t="s">
        <v>261</v>
      </c>
      <c r="C22" s="25" t="s">
        <v>134</v>
      </c>
      <c r="D22" s="38">
        <f>IF(Méthode=1,45,theta_donné)</f>
        <v>45</v>
      </c>
      <c r="E22" s="64" t="s">
        <v>262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2"/>
    </row>
    <row r="23" spans="1:20" ht="15" thickBot="1">
      <c r="A23" s="4"/>
      <c r="B23" s="69" t="s">
        <v>263</v>
      </c>
      <c r="C23" s="56"/>
      <c r="D23" s="105">
        <f>1/TAN(PI()/180*theta)</f>
        <v>1</v>
      </c>
      <c r="E23" s="70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2"/>
    </row>
    <row r="24" spans="1:20" ht="15" thickBot="1">
      <c r="A24" s="4"/>
      <c r="B24" s="18"/>
      <c r="C24" s="18"/>
      <c r="D24" s="66"/>
      <c r="E24" s="18"/>
      <c r="F24" s="18"/>
      <c r="G24" s="18"/>
      <c r="H24" s="18"/>
      <c r="I24" s="18"/>
      <c r="J24" s="12"/>
      <c r="K24" s="12"/>
      <c r="L24" s="12"/>
      <c r="M24" s="12"/>
      <c r="N24" s="18"/>
      <c r="O24" s="18"/>
      <c r="P24" s="18"/>
      <c r="Q24" s="18"/>
      <c r="R24" s="18"/>
      <c r="S24" s="18"/>
      <c r="T24" s="4"/>
    </row>
    <row r="25" spans="1:20">
      <c r="A25" s="4"/>
      <c r="B25" s="434" t="s">
        <v>264</v>
      </c>
      <c r="C25" s="435"/>
      <c r="D25" s="435"/>
      <c r="E25" s="435"/>
      <c r="F25" s="435"/>
      <c r="G25" s="435"/>
      <c r="H25" s="435"/>
      <c r="I25" s="435"/>
      <c r="J25" s="435"/>
      <c r="K25" s="436"/>
      <c r="L25" s="18"/>
      <c r="M25" s="18"/>
      <c r="N25" s="12"/>
      <c r="O25" s="12"/>
      <c r="P25" s="12"/>
      <c r="Q25" s="12"/>
      <c r="R25" s="12"/>
      <c r="S25" s="12"/>
    </row>
    <row r="26" spans="1:20" ht="16.149999999999999" thickBot="1">
      <c r="B26" s="71" t="s">
        <v>265</v>
      </c>
      <c r="C26" s="25" t="s">
        <v>62</v>
      </c>
      <c r="D26" s="38">
        <f>VEd</f>
        <v>292.89999999999998</v>
      </c>
      <c r="E26" s="25" t="str">
        <f>IF(VEd&lt;=VEdlim,"≤","&gt;")</f>
        <v>≤</v>
      </c>
      <c r="F26" s="25" t="s">
        <v>266</v>
      </c>
      <c r="G26" s="25" t="s">
        <v>62</v>
      </c>
      <c r="H26" s="38">
        <f>VEdlim</f>
        <v>553.5</v>
      </c>
      <c r="I26" s="356" t="str">
        <f>IF(E26&lt;&gt;"&gt;","OK",IF(AND(ChxChrgConcentrées=1,E26="&gt;"),"augmenter bw et/ou d"," Mais OK"))</f>
        <v>OK</v>
      </c>
      <c r="J26" s="356"/>
      <c r="K26" s="424"/>
      <c r="L26" s="421" t="s">
        <v>267</v>
      </c>
      <c r="M26" s="425" t="s">
        <v>268</v>
      </c>
      <c r="N26" s="425"/>
      <c r="O26" s="425"/>
      <c r="P26" s="425"/>
      <c r="Q26" s="425"/>
      <c r="R26" s="12"/>
      <c r="S26" s="12"/>
    </row>
    <row r="27" spans="1:20" ht="16.149999999999999" thickBot="1">
      <c r="A27" s="4"/>
      <c r="B27" s="71" t="s">
        <v>193</v>
      </c>
      <c r="C27" s="25" t="s">
        <v>62</v>
      </c>
      <c r="D27" s="38">
        <f>Ved0p</f>
        <v>292.89999999999998</v>
      </c>
      <c r="E27" s="25" t="str">
        <f>IF(Ved0p&lt;=VRdC1,"≤","&gt;")</f>
        <v>&gt;</v>
      </c>
      <c r="F27" s="25" t="s">
        <v>269</v>
      </c>
      <c r="G27" s="25" t="s">
        <v>62</v>
      </c>
      <c r="H27" s="38">
        <f>VRdC1</f>
        <v>42.100839879182608</v>
      </c>
      <c r="I27" s="404" t="str">
        <f>IF(OR(E27="&gt;",E28="&gt;"),"Armatures d'effort tranchant nécessaires","Pas d'armatures d'effort tranchant nécessaires")</f>
        <v>Armatures d'effort tranchant nécessaires</v>
      </c>
      <c r="J27" s="405"/>
      <c r="K27" s="406"/>
      <c r="L27" s="422"/>
      <c r="M27" s="72"/>
      <c r="N27" s="12"/>
      <c r="O27" s="12"/>
      <c r="P27" s="12"/>
      <c r="Q27" s="12"/>
      <c r="R27" s="12"/>
      <c r="S27" s="12"/>
    </row>
    <row r="28" spans="1:20" ht="16.149999999999999" thickBot="1">
      <c r="A28" s="4"/>
      <c r="B28" s="73" t="s">
        <v>179</v>
      </c>
      <c r="C28" s="74" t="s">
        <v>62</v>
      </c>
      <c r="D28" s="75">
        <f>VEd0</f>
        <v>292.89999999999998</v>
      </c>
      <c r="E28" s="74" t="str">
        <f>IF(VEd0&lt;=VRdC,"≤","&gt;")</f>
        <v>&gt;</v>
      </c>
      <c r="F28" s="74" t="s">
        <v>270</v>
      </c>
      <c r="G28" s="74" t="s">
        <v>62</v>
      </c>
      <c r="H28" s="75">
        <f>VRdC</f>
        <v>45.107176272158455</v>
      </c>
      <c r="I28" s="407"/>
      <c r="J28" s="408"/>
      <c r="K28" s="409"/>
      <c r="L28" s="423"/>
      <c r="M28" s="72"/>
      <c r="N28" s="12"/>
      <c r="O28" s="12"/>
      <c r="P28" s="12"/>
      <c r="Q28" s="12"/>
      <c r="R28" s="12"/>
      <c r="S28" s="12"/>
    </row>
    <row r="29" spans="1:20" ht="15" thickBot="1">
      <c r="A29" s="4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2"/>
      <c r="O29" s="12"/>
      <c r="P29" s="12"/>
      <c r="Q29" s="12"/>
      <c r="R29" s="12"/>
      <c r="S29" s="12"/>
    </row>
    <row r="30" spans="1:20" ht="18" customHeight="1">
      <c r="A30" s="4"/>
      <c r="B30" s="410" t="s">
        <v>271</v>
      </c>
      <c r="C30" s="411"/>
      <c r="D30" s="411"/>
      <c r="E30" s="411"/>
      <c r="F30" s="411"/>
      <c r="G30" s="411"/>
      <c r="H30" s="411"/>
      <c r="I30" s="412"/>
      <c r="J30" s="12"/>
      <c r="K30" s="413" t="s">
        <v>272</v>
      </c>
      <c r="L30" s="414"/>
      <c r="M30" s="414"/>
      <c r="N30" s="414"/>
      <c r="O30" s="414"/>
      <c r="P30" s="414"/>
      <c r="Q30" s="414"/>
      <c r="R30" s="414"/>
      <c r="S30" s="415"/>
    </row>
    <row r="31" spans="1:20" ht="15.6">
      <c r="A31" s="4"/>
      <c r="B31" s="49" t="s">
        <v>265</v>
      </c>
      <c r="C31" s="25" t="s">
        <v>62</v>
      </c>
      <c r="D31" s="38">
        <f>VEd</f>
        <v>292.89999999999998</v>
      </c>
      <c r="E31" s="25" t="str">
        <f>IF(VEd&lt;=VRdmax,"≤","&gt;")</f>
        <v>≤</v>
      </c>
      <c r="F31" s="25" t="s">
        <v>273</v>
      </c>
      <c r="G31" s="25" t="s">
        <v>62</v>
      </c>
      <c r="H31" s="26">
        <f>VRdmax</f>
        <v>498.15000000000009</v>
      </c>
      <c r="I31" s="76"/>
      <c r="J31" s="12"/>
      <c r="K31" s="139" t="s">
        <v>274</v>
      </c>
      <c r="L31" s="140" t="s">
        <v>62</v>
      </c>
      <c r="M31" s="141">
        <f>VEd</f>
        <v>292.89999999999998</v>
      </c>
      <c r="N31" s="140" t="str">
        <f>IF(VEd&lt;=Q31,"≤","&gt;")</f>
        <v>≤</v>
      </c>
      <c r="O31" s="140" t="s">
        <v>275</v>
      </c>
      <c r="P31" s="140" t="s">
        <v>62</v>
      </c>
      <c r="Q31" s="142">
        <f>0.01*bw*0.01*z*nu_1*1000*fcd/(TAN(PI()/180*theta)+cotgtheta)</f>
        <v>498.15000000000009</v>
      </c>
      <c r="R31" s="143"/>
      <c r="S31" s="144"/>
    </row>
    <row r="32" spans="1:20">
      <c r="A32" s="4"/>
      <c r="B32" s="49" t="s">
        <v>276</v>
      </c>
      <c r="C32" s="356" t="str">
        <f>IF(E31="&gt;","augmenter bw et/ou d","OK")</f>
        <v>OK</v>
      </c>
      <c r="D32" s="356"/>
      <c r="E32" s="356"/>
      <c r="F32" s="18"/>
      <c r="G32" s="18"/>
      <c r="H32" s="18"/>
      <c r="I32" s="76"/>
      <c r="J32" s="12"/>
      <c r="K32" s="139" t="s">
        <v>276</v>
      </c>
      <c r="L32" s="420" t="str">
        <f>IF(N31="&gt;","augmenter bw et/ou d","OK")</f>
        <v>OK</v>
      </c>
      <c r="M32" s="420"/>
      <c r="N32" s="420"/>
      <c r="O32" s="145"/>
      <c r="P32" s="145"/>
      <c r="Q32" s="145"/>
      <c r="R32" s="143"/>
      <c r="S32" s="144"/>
    </row>
    <row r="33" spans="1:24">
      <c r="A33" s="4"/>
      <c r="B33" s="77"/>
      <c r="C33" s="18"/>
      <c r="D33" s="18"/>
      <c r="E33" s="18"/>
      <c r="F33" s="12"/>
      <c r="G33" s="12"/>
      <c r="H33" s="18"/>
      <c r="I33" s="76"/>
      <c r="J33" s="12"/>
      <c r="K33" s="146"/>
      <c r="L33" s="145"/>
      <c r="M33" s="145"/>
      <c r="N33" s="145"/>
      <c r="O33" s="145"/>
      <c r="P33" s="145"/>
      <c r="Q33" s="145"/>
      <c r="R33" s="143"/>
      <c r="S33" s="144"/>
    </row>
    <row r="34" spans="1:24" ht="16.899999999999999" thickBot="1">
      <c r="A34" s="4"/>
      <c r="B34" s="49" t="s">
        <v>277</v>
      </c>
      <c r="C34" s="25" t="s">
        <v>278</v>
      </c>
      <c r="D34" s="67">
        <f>100*Ved0p/(0.01*z*1000*fywd*(cotgtheta+cotgalpha)*SIN(alpha_r))</f>
        <v>0.15213866305329718</v>
      </c>
      <c r="E34" s="18"/>
      <c r="F34" s="18"/>
      <c r="G34" s="18"/>
      <c r="H34" s="18"/>
      <c r="I34" s="76"/>
      <c r="J34" s="12"/>
      <c r="K34" s="146"/>
      <c r="L34" s="145"/>
      <c r="M34" s="145"/>
      <c r="N34" s="145" t="s">
        <v>279</v>
      </c>
      <c r="O34" s="145"/>
      <c r="P34" s="145"/>
      <c r="Q34" s="145"/>
      <c r="R34" s="145"/>
      <c r="S34" s="147"/>
    </row>
    <row r="35" spans="1:24" ht="16.149999999999999">
      <c r="A35" s="4"/>
      <c r="B35" s="49" t="s">
        <v>280</v>
      </c>
      <c r="C35" s="25" t="s">
        <v>278</v>
      </c>
      <c r="D35" s="67">
        <f>invtheta0_0</f>
        <v>0.02</v>
      </c>
      <c r="E35" s="78" t="s">
        <v>281</v>
      </c>
      <c r="F35" s="79" t="s">
        <v>282</v>
      </c>
      <c r="G35" s="416" t="s">
        <v>283</v>
      </c>
      <c r="H35" s="418">
        <v>0.15213866305329718</v>
      </c>
      <c r="I35" s="138" t="str">
        <f>IF(F35="&lt;","OK","1/θ0 &lt; 1/θm")</f>
        <v>OK</v>
      </c>
      <c r="J35" s="12"/>
      <c r="K35" s="148" t="s">
        <v>284</v>
      </c>
      <c r="L35" s="140"/>
      <c r="M35" s="149">
        <f>0.08*SQRT(fck)/fywk</f>
        <v>8.0000000000000004E-4</v>
      </c>
      <c r="N35" s="150" t="s">
        <v>285</v>
      </c>
      <c r="O35" s="151" t="s">
        <v>286</v>
      </c>
      <c r="P35" s="152"/>
      <c r="Q35" s="152"/>
      <c r="R35" s="152"/>
      <c r="S35" s="153"/>
      <c r="T35" s="4"/>
      <c r="U35" s="4"/>
    </row>
    <row r="36" spans="1:24" ht="16.899999999999999" thickBot="1">
      <c r="A36" s="4"/>
      <c r="B36" s="59" t="s">
        <v>287</v>
      </c>
      <c r="C36" s="56" t="s">
        <v>278</v>
      </c>
      <c r="D36" s="106">
        <f>(1/2*nu_1*fcd*SIN(alpha_r)*bw)/((1-COS(alpha_r))*fywd)</f>
        <v>0.25875000000000009</v>
      </c>
      <c r="E36" s="80" t="s">
        <v>288</v>
      </c>
      <c r="F36" s="81" t="s">
        <v>289</v>
      </c>
      <c r="G36" s="417"/>
      <c r="H36" s="419"/>
      <c r="I36" s="82" t="str">
        <f>IF(F36="&lt;","augmenter bw et/ou d","OK")</f>
        <v>OK</v>
      </c>
      <c r="J36" s="12"/>
      <c r="K36" s="154" t="s">
        <v>290</v>
      </c>
      <c r="L36" s="155" t="s">
        <v>291</v>
      </c>
      <c r="M36" s="156">
        <f>rhowmin*bw*SIN(alpha_r)</f>
        <v>0.02</v>
      </c>
      <c r="N36" s="157" t="s">
        <v>292</v>
      </c>
      <c r="O36" s="158"/>
      <c r="P36" s="158"/>
      <c r="Q36" s="158"/>
      <c r="R36" s="158"/>
      <c r="S36" s="159"/>
      <c r="T36" s="4"/>
      <c r="U36" s="4"/>
      <c r="V36" s="1"/>
      <c r="W36" s="1"/>
      <c r="X36" s="1"/>
    </row>
    <row r="37" spans="1:24">
      <c r="A37" s="4"/>
      <c r="B37" s="83"/>
      <c r="C37" s="12"/>
      <c r="D37" s="83"/>
      <c r="E37" s="12"/>
      <c r="F37" s="18"/>
      <c r="G37" s="18"/>
      <c r="H37" s="18"/>
      <c r="I37" s="18"/>
      <c r="J37" s="12"/>
      <c r="K37" s="83"/>
      <c r="L37" s="12"/>
      <c r="M37" s="12"/>
      <c r="N37" s="12"/>
      <c r="O37" s="12"/>
      <c r="P37" s="12"/>
      <c r="Q37" s="12"/>
      <c r="R37" s="12"/>
      <c r="S37" s="12"/>
      <c r="T37" s="4"/>
      <c r="U37" s="4"/>
      <c r="V37" s="1"/>
      <c r="W37" s="1"/>
      <c r="X37" s="1"/>
    </row>
    <row r="38" spans="1:24">
      <c r="A38" s="4"/>
      <c r="B38" s="12"/>
      <c r="C38" s="12"/>
      <c r="D38" s="12"/>
      <c r="E38" s="18"/>
      <c r="F38" s="18"/>
      <c r="G38" s="12"/>
      <c r="H38" s="18"/>
      <c r="I38" s="18"/>
      <c r="J38" s="12"/>
      <c r="K38" s="18"/>
      <c r="L38" s="18"/>
      <c r="M38" s="18"/>
      <c r="N38" s="18"/>
      <c r="O38" s="18"/>
      <c r="P38" s="18"/>
      <c r="Q38" s="18"/>
      <c r="R38" s="18"/>
      <c r="S38" s="18"/>
      <c r="T38" s="4"/>
      <c r="U38" s="4"/>
      <c r="V38" s="1"/>
      <c r="W38" s="1"/>
      <c r="X38" s="1"/>
    </row>
    <row r="39" spans="1:24" ht="15" customHeight="1" thickBot="1">
      <c r="A39" s="4"/>
      <c r="B39" s="403" t="s">
        <v>293</v>
      </c>
      <c r="C39" s="403"/>
      <c r="D39" s="403"/>
      <c r="E39" s="403"/>
      <c r="F39" s="12"/>
      <c r="G39" s="12"/>
      <c r="H39" s="18"/>
      <c r="I39" s="18"/>
      <c r="J39" s="18"/>
      <c r="K39" s="12"/>
      <c r="L39" s="12"/>
      <c r="M39" s="12"/>
      <c r="N39" s="12"/>
      <c r="O39" s="12"/>
      <c r="P39" s="12"/>
      <c r="Q39" s="12"/>
      <c r="R39" s="12"/>
      <c r="S39" s="12"/>
      <c r="W39" s="1"/>
      <c r="X39" s="1"/>
    </row>
    <row r="40" spans="1:24" ht="16.899999999999999" thickBot="1">
      <c r="A40" s="4"/>
      <c r="B40" s="403"/>
      <c r="C40" s="403"/>
      <c r="D40" s="403"/>
      <c r="E40" s="403"/>
      <c r="F40" s="12"/>
      <c r="G40" s="12"/>
      <c r="H40" s="18"/>
      <c r="I40" s="18"/>
      <c r="J40" s="114" t="s">
        <v>294</v>
      </c>
      <c r="K40" s="115">
        <f>100*IF(I27="Pas d'armatures d'effort tranchant nécessaires",invtheta0_0,invtheta0)</f>
        <v>15.213866305329718</v>
      </c>
      <c r="L40" s="116" t="s">
        <v>295</v>
      </c>
      <c r="M40" s="12"/>
      <c r="N40" s="12"/>
      <c r="O40" s="12"/>
      <c r="P40" s="18"/>
      <c r="Q40" s="18"/>
      <c r="R40" s="18"/>
      <c r="S40" s="18"/>
      <c r="T40" s="4"/>
      <c r="U40" s="4"/>
      <c r="V40" s="1"/>
      <c r="W40" s="1"/>
      <c r="X40" s="1"/>
    </row>
    <row r="41" spans="1:24">
      <c r="A41" s="4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4"/>
      <c r="U41" s="4"/>
      <c r="W41" s="1"/>
      <c r="X41" s="1"/>
    </row>
    <row r="42" spans="1:24">
      <c r="A42" s="4"/>
      <c r="B42" s="18"/>
      <c r="C42" s="18"/>
      <c r="D42" s="18"/>
      <c r="E42" s="18"/>
      <c r="F42" s="18"/>
      <c r="G42" s="12"/>
      <c r="H42" s="12"/>
      <c r="I42" s="18"/>
      <c r="J42" s="12"/>
      <c r="K42" s="12"/>
      <c r="L42" s="18"/>
      <c r="M42" s="18"/>
      <c r="N42" s="18"/>
      <c r="O42" s="18"/>
      <c r="P42" s="18"/>
      <c r="Q42" s="18"/>
      <c r="R42" s="12"/>
      <c r="S42" s="12"/>
    </row>
    <row r="43" spans="1:24">
      <c r="A43" s="4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2"/>
      <c r="S43" s="12"/>
    </row>
    <row r="44" spans="1:24">
      <c r="A44" s="4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2"/>
      <c r="S44" s="12"/>
    </row>
    <row r="45" spans="1:24">
      <c r="A45" s="4"/>
      <c r="B45" s="12"/>
      <c r="C45" s="12"/>
      <c r="D45" s="12"/>
      <c r="E45" s="12"/>
      <c r="F45" s="12"/>
      <c r="G45" s="12"/>
      <c r="H45" s="12"/>
      <c r="I45" s="12"/>
      <c r="J45" s="18"/>
      <c r="K45" s="18"/>
      <c r="L45" s="18"/>
      <c r="M45" s="18"/>
      <c r="N45" s="18"/>
      <c r="O45" s="18"/>
      <c r="P45" s="18"/>
      <c r="Q45" s="18"/>
      <c r="R45" s="12"/>
      <c r="S45" s="12"/>
    </row>
    <row r="46" spans="1:24">
      <c r="A46" s="4"/>
      <c r="B46" s="18"/>
      <c r="C46" s="18"/>
      <c r="D46" s="18"/>
      <c r="E46" s="18"/>
      <c r="F46" s="12"/>
      <c r="G46" s="12"/>
      <c r="H46" s="12"/>
      <c r="I46" s="12"/>
      <c r="J46" s="18"/>
      <c r="K46" s="18"/>
      <c r="L46" s="18"/>
      <c r="M46" s="18"/>
      <c r="N46" s="18"/>
      <c r="O46" s="18"/>
      <c r="P46" s="18"/>
      <c r="Q46" s="18"/>
      <c r="R46" s="12"/>
      <c r="S46" s="12"/>
    </row>
    <row r="47" spans="1:24">
      <c r="A47" s="4"/>
      <c r="B47" s="18"/>
      <c r="C47" s="18"/>
      <c r="D47" s="18"/>
      <c r="E47" s="18"/>
      <c r="F47" s="12"/>
      <c r="G47" s="12"/>
      <c r="H47" s="12"/>
      <c r="I47" s="12"/>
      <c r="J47" s="18"/>
      <c r="K47" s="18"/>
      <c r="L47" s="18"/>
      <c r="M47" s="18"/>
      <c r="N47" s="18"/>
      <c r="O47" s="18"/>
      <c r="P47" s="18"/>
      <c r="Q47" s="18"/>
      <c r="R47" s="12"/>
      <c r="S47" s="12"/>
    </row>
    <row r="48" spans="1:24">
      <c r="A48" s="4"/>
      <c r="B48" s="18"/>
      <c r="C48" s="18"/>
      <c r="D48" s="18"/>
      <c r="E48" s="18"/>
      <c r="F48" s="12"/>
      <c r="G48" s="12"/>
      <c r="H48" s="12"/>
      <c r="I48" s="12"/>
      <c r="J48" s="18"/>
      <c r="K48" s="18"/>
      <c r="L48" s="18"/>
      <c r="M48" s="18"/>
      <c r="N48" s="18"/>
      <c r="O48" s="18"/>
      <c r="P48" s="18"/>
      <c r="Q48" s="18"/>
      <c r="R48" s="12"/>
      <c r="S48" s="12"/>
    </row>
    <row r="49" spans="1:24">
      <c r="A49" s="4"/>
      <c r="B49" s="12"/>
      <c r="C49" s="12"/>
      <c r="D49" s="12"/>
      <c r="E49" s="12"/>
      <c r="F49" s="12"/>
      <c r="G49" s="12"/>
      <c r="H49" s="12"/>
      <c r="I49" s="12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4"/>
      <c r="U49" s="4"/>
      <c r="V49" s="1"/>
      <c r="W49" s="1"/>
      <c r="X49" s="1"/>
    </row>
    <row r="50" spans="1:24">
      <c r="A50" s="4"/>
      <c r="B50" s="12"/>
      <c r="C50" s="12"/>
      <c r="D50" s="12"/>
      <c r="E50" s="12"/>
      <c r="F50" s="12"/>
      <c r="G50" s="12"/>
      <c r="H50" s="12"/>
      <c r="I50" s="12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4"/>
      <c r="U50" s="4"/>
      <c r="V50" s="1"/>
      <c r="W50" s="1"/>
      <c r="X50" s="1"/>
    </row>
    <row r="51" spans="1:24">
      <c r="A51" s="4"/>
      <c r="B51" s="12"/>
      <c r="C51" s="12"/>
      <c r="D51" s="12"/>
      <c r="E51" s="12"/>
      <c r="F51" s="12"/>
      <c r="G51" s="12"/>
      <c r="H51" s="12"/>
      <c r="I51" s="12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4"/>
      <c r="U51" s="4"/>
      <c r="V51" s="1"/>
      <c r="W51" s="1"/>
      <c r="X51" s="1"/>
    </row>
    <row r="52" spans="1:24">
      <c r="A52" s="4"/>
      <c r="B52" s="12"/>
      <c r="C52" s="12"/>
      <c r="D52" s="12"/>
      <c r="E52" s="12"/>
      <c r="F52" s="12"/>
      <c r="G52" s="12"/>
      <c r="H52" s="12"/>
      <c r="I52" s="12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4"/>
      <c r="U52" s="4"/>
      <c r="V52" s="1"/>
      <c r="W52" s="1"/>
      <c r="X52" s="1"/>
    </row>
    <row r="53" spans="1:24">
      <c r="A53" s="4"/>
      <c r="B53" s="12"/>
      <c r="C53" s="12"/>
      <c r="D53" s="12"/>
      <c r="E53" s="12"/>
      <c r="F53" s="12"/>
      <c r="G53" s="12"/>
      <c r="H53" s="12"/>
      <c r="I53" s="12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4"/>
      <c r="U53" s="4"/>
      <c r="V53" s="1"/>
      <c r="W53" s="1"/>
      <c r="X53" s="1"/>
    </row>
    <row r="54" spans="1:24">
      <c r="A54" s="4"/>
      <c r="B54" s="12"/>
      <c r="C54" s="12"/>
      <c r="D54" s="12"/>
      <c r="E54" s="12"/>
      <c r="F54" s="12"/>
      <c r="G54" s="12"/>
      <c r="H54" s="12"/>
      <c r="I54" s="12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4"/>
      <c r="U54" s="4"/>
      <c r="V54" s="1"/>
      <c r="W54" s="1"/>
      <c r="X54" s="1"/>
    </row>
    <row r="55" spans="1:24">
      <c r="A55" s="4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4"/>
      <c r="U55" s="4"/>
      <c r="V55" s="1"/>
      <c r="W55" s="1"/>
      <c r="X55" s="1"/>
    </row>
    <row r="56" spans="1:24">
      <c r="A56" s="4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4"/>
      <c r="U56" s="4"/>
      <c r="V56" s="1"/>
      <c r="W56" s="1"/>
      <c r="X56" s="1"/>
    </row>
    <row r="57" spans="1:24">
      <c r="A57" s="4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4"/>
      <c r="U57" s="4"/>
      <c r="V57" s="1"/>
      <c r="W57" s="1"/>
      <c r="X57" s="1"/>
    </row>
    <row r="58" spans="1:24">
      <c r="A58" s="4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4"/>
      <c r="U58" s="4"/>
      <c r="V58" s="1"/>
      <c r="W58" s="1"/>
      <c r="X58" s="1"/>
    </row>
    <row r="59" spans="1:24">
      <c r="A59" s="4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4"/>
      <c r="U59" s="4"/>
      <c r="V59" s="1"/>
      <c r="W59" s="1"/>
      <c r="X59" s="1"/>
    </row>
    <row r="60" spans="1:24">
      <c r="A60" s="4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4"/>
      <c r="U60" s="4"/>
      <c r="V60" s="1"/>
      <c r="W60" s="1"/>
      <c r="X60" s="1"/>
    </row>
    <row r="61" spans="1:24">
      <c r="A61" s="4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4"/>
      <c r="U61" s="4"/>
      <c r="V61" s="1"/>
      <c r="W61" s="1"/>
      <c r="X61" s="1"/>
    </row>
    <row r="62" spans="1:24">
      <c r="A62" s="4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4"/>
      <c r="U62" s="4"/>
      <c r="V62" s="1"/>
      <c r="W62" s="1"/>
      <c r="X62" s="1"/>
    </row>
    <row r="63" spans="1:24">
      <c r="A63" s="4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4"/>
      <c r="U63" s="4"/>
      <c r="V63" s="1"/>
      <c r="W63" s="1"/>
      <c r="X63" s="1"/>
    </row>
    <row r="64" spans="1:24">
      <c r="A64" s="4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4"/>
      <c r="U64" s="4"/>
      <c r="V64" s="1"/>
      <c r="W64" s="1"/>
      <c r="X64" s="1"/>
    </row>
    <row r="65" spans="1:24">
      <c r="A65" s="4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4"/>
      <c r="U65" s="4"/>
      <c r="V65" s="1"/>
      <c r="W65" s="1"/>
      <c r="X65" s="1"/>
    </row>
    <row r="66" spans="1:24">
      <c r="A66" s="4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4"/>
      <c r="U66" s="4"/>
      <c r="V66" s="1"/>
      <c r="W66" s="1"/>
      <c r="X66" s="1"/>
    </row>
    <row r="67" spans="1:24">
      <c r="A67" s="4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4"/>
      <c r="U67" s="4"/>
      <c r="V67" s="1"/>
      <c r="W67" s="1"/>
      <c r="X67" s="1"/>
    </row>
    <row r="68" spans="1:24">
      <c r="A68" s="4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4"/>
      <c r="U68" s="4"/>
      <c r="V68" s="1"/>
      <c r="W68" s="1"/>
      <c r="X68" s="1"/>
    </row>
    <row r="69" spans="1:24">
      <c r="A69" s="4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4"/>
      <c r="U69" s="4"/>
      <c r="V69" s="1"/>
      <c r="W69" s="1"/>
      <c r="X69" s="1"/>
    </row>
    <row r="70" spans="1:24">
      <c r="A70" s="4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4"/>
      <c r="U70" s="4"/>
      <c r="V70" s="1"/>
      <c r="W70" s="1"/>
      <c r="X70" s="1"/>
    </row>
    <row r="71" spans="1:24">
      <c r="A71" s="4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4"/>
      <c r="U71" s="4"/>
      <c r="V71" s="1"/>
      <c r="W71" s="1"/>
      <c r="X71" s="1"/>
    </row>
    <row r="72" spans="1:24">
      <c r="A72" s="4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4"/>
      <c r="U72" s="4"/>
      <c r="V72" s="1"/>
      <c r="W72" s="1"/>
      <c r="X72" s="1"/>
    </row>
    <row r="73" spans="1:24">
      <c r="A73" s="4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4"/>
      <c r="U73" s="4"/>
      <c r="V73" s="1"/>
      <c r="W73" s="1"/>
      <c r="X73" s="1"/>
    </row>
    <row r="74" spans="1:24">
      <c r="A74" s="4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4"/>
      <c r="U74" s="4"/>
      <c r="V74" s="1"/>
      <c r="W74" s="1"/>
      <c r="X74" s="1"/>
    </row>
    <row r="75" spans="1:24">
      <c r="A75" s="4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4"/>
      <c r="U75" s="4"/>
      <c r="V75" s="1"/>
      <c r="W75" s="1"/>
      <c r="X75" s="1"/>
    </row>
    <row r="76" spans="1:24">
      <c r="A76" s="4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4"/>
      <c r="U76" s="4"/>
      <c r="V76" s="1"/>
      <c r="W76" s="1"/>
      <c r="X76" s="1"/>
    </row>
    <row r="77" spans="1:24">
      <c r="A77" s="4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4"/>
      <c r="U77" s="4"/>
      <c r="V77" s="1"/>
      <c r="W77" s="1"/>
      <c r="X77" s="1"/>
    </row>
    <row r="78" spans="1:24">
      <c r="A78" s="4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4"/>
      <c r="U78" s="4"/>
      <c r="V78" s="1"/>
      <c r="W78" s="1"/>
      <c r="X78" s="1"/>
    </row>
    <row r="79" spans="1:24">
      <c r="A79" s="4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4"/>
      <c r="U79" s="4"/>
      <c r="V79" s="1"/>
      <c r="W79" s="1"/>
      <c r="X79" s="1"/>
    </row>
    <row r="80" spans="1:24">
      <c r="A80" s="4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4"/>
      <c r="U80" s="4"/>
      <c r="V80" s="1"/>
      <c r="W80" s="1"/>
      <c r="X80" s="1"/>
    </row>
    <row r="81" spans="1:24">
      <c r="A81" s="4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4"/>
      <c r="U81" s="4"/>
      <c r="V81" s="1"/>
      <c r="W81" s="1"/>
      <c r="X81" s="1"/>
    </row>
    <row r="82" spans="1:24">
      <c r="A82" s="4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4"/>
      <c r="U82" s="4"/>
      <c r="V82" s="1"/>
      <c r="W82" s="1"/>
      <c r="X82" s="1"/>
    </row>
    <row r="83" spans="1:24">
      <c r="A83" s="4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4"/>
      <c r="U83" s="4"/>
      <c r="V83" s="1"/>
      <c r="W83" s="1"/>
      <c r="X83" s="1"/>
    </row>
    <row r="84" spans="1:24">
      <c r="A84" s="4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4"/>
      <c r="U84" s="4"/>
      <c r="V84" s="1"/>
      <c r="W84" s="1"/>
      <c r="X84" s="1"/>
    </row>
    <row r="85" spans="1:24">
      <c r="A85" s="4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4"/>
      <c r="U85" s="4"/>
      <c r="V85" s="1"/>
      <c r="W85" s="1"/>
      <c r="X85" s="1"/>
    </row>
    <row r="86" spans="1:24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1"/>
      <c r="W86" s="1"/>
      <c r="X86" s="1"/>
    </row>
    <row r="87" spans="1:24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1"/>
      <c r="W87" s="1"/>
      <c r="X87" s="1"/>
    </row>
    <row r="88" spans="1:24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1"/>
      <c r="W88" s="1"/>
      <c r="X88" s="1"/>
    </row>
    <row r="89" spans="1:2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1"/>
      <c r="W89" s="1"/>
      <c r="X89" s="1"/>
    </row>
    <row r="90" spans="1:2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1"/>
      <c r="W90" s="1"/>
      <c r="X90" s="1"/>
    </row>
    <row r="91" spans="1:2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1"/>
      <c r="W91" s="1"/>
      <c r="X91" s="1"/>
    </row>
    <row r="92" spans="1:24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1"/>
      <c r="W92" s="1"/>
      <c r="X92" s="1"/>
    </row>
    <row r="93" spans="1:24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1"/>
      <c r="W93" s="1"/>
      <c r="X93" s="1"/>
    </row>
    <row r="94" spans="1:24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1"/>
      <c r="W94" s="1"/>
      <c r="X94" s="1"/>
    </row>
    <row r="95" spans="1:24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1"/>
      <c r="W95" s="1"/>
      <c r="X95" s="1"/>
    </row>
    <row r="96" spans="1:24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1"/>
      <c r="W96" s="1"/>
      <c r="X96" s="1"/>
    </row>
    <row r="97" spans="1:24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1"/>
      <c r="W97" s="1"/>
      <c r="X97" s="1"/>
    </row>
    <row r="98" spans="1:24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1"/>
      <c r="W98" s="1"/>
      <c r="X98" s="1"/>
    </row>
    <row r="99" spans="1:24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1"/>
      <c r="W99" s="1"/>
      <c r="X99" s="1"/>
    </row>
    <row r="100" spans="1:2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1"/>
      <c r="W100" s="1"/>
      <c r="X100" s="1"/>
    </row>
    <row r="101" spans="1:2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1"/>
      <c r="W101" s="1"/>
      <c r="X101" s="1"/>
    </row>
    <row r="102" spans="1:2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1"/>
      <c r="W102" s="1"/>
      <c r="X102" s="1"/>
    </row>
    <row r="103" spans="1:2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1"/>
      <c r="W103" s="1"/>
      <c r="X103" s="1"/>
    </row>
    <row r="104" spans="1:2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1"/>
      <c r="W104" s="1"/>
      <c r="X104" s="1"/>
    </row>
    <row r="105" spans="1:2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1"/>
      <c r="W105" s="1"/>
      <c r="X105" s="1"/>
    </row>
    <row r="106" spans="1:2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1"/>
      <c r="W106" s="1"/>
      <c r="X106" s="1"/>
    </row>
    <row r="107" spans="1:2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1"/>
      <c r="W107" s="1"/>
      <c r="X107" s="1"/>
    </row>
    <row r="108" spans="1:2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1"/>
      <c r="W108" s="1"/>
      <c r="X108" s="1"/>
    </row>
    <row r="109" spans="1:2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1"/>
      <c r="W109" s="1"/>
      <c r="X109" s="1"/>
    </row>
    <row r="110" spans="1:2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1"/>
      <c r="W110" s="1"/>
      <c r="X110" s="1"/>
    </row>
    <row r="111" spans="1:2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1"/>
      <c r="W111" s="1"/>
      <c r="X111" s="1"/>
    </row>
    <row r="112" spans="1:2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1"/>
      <c r="W112" s="1"/>
      <c r="X112" s="1"/>
    </row>
    <row r="113" spans="1:2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1"/>
      <c r="W113" s="1"/>
      <c r="X113" s="1"/>
    </row>
    <row r="114" spans="1:2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1"/>
      <c r="W114" s="1"/>
      <c r="X114" s="1"/>
    </row>
    <row r="115" spans="1:2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1"/>
      <c r="W115" s="1"/>
      <c r="X115" s="1"/>
    </row>
    <row r="116" spans="1:2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1"/>
      <c r="W116" s="1"/>
      <c r="X116" s="1"/>
    </row>
    <row r="117" spans="1:2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1"/>
      <c r="W117" s="1"/>
      <c r="X117" s="1"/>
    </row>
    <row r="118" spans="1:2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1"/>
      <c r="W118" s="1"/>
      <c r="X118" s="1"/>
    </row>
    <row r="119" spans="1:2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1"/>
      <c r="W119" s="1"/>
      <c r="X119" s="1"/>
    </row>
    <row r="120" spans="1:2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1"/>
      <c r="W120" s="1"/>
      <c r="X120" s="1"/>
    </row>
    <row r="121" spans="1:2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</sheetData>
  <mergeCells count="23">
    <mergeCell ref="F5:K5"/>
    <mergeCell ref="F2:K2"/>
    <mergeCell ref="C32:E32"/>
    <mergeCell ref="B21:E21"/>
    <mergeCell ref="E2:E10"/>
    <mergeCell ref="E17:E18"/>
    <mergeCell ref="B16:E16"/>
    <mergeCell ref="B25:K25"/>
    <mergeCell ref="F13:K13"/>
    <mergeCell ref="F11:K11"/>
    <mergeCell ref="F10:K10"/>
    <mergeCell ref="F8:K8"/>
    <mergeCell ref="F16:K16"/>
    <mergeCell ref="B39:E40"/>
    <mergeCell ref="I27:K28"/>
    <mergeCell ref="B30:I30"/>
    <mergeCell ref="K30:S30"/>
    <mergeCell ref="G35:G36"/>
    <mergeCell ref="H35:H36"/>
    <mergeCell ref="L32:N32"/>
    <mergeCell ref="L26:L28"/>
    <mergeCell ref="I26:K26"/>
    <mergeCell ref="M26:Q26"/>
  </mergeCells>
  <conditionalFormatting sqref="F31">
    <cfRule type="expression" dxfId="8" priority="72">
      <formula>#REF!="&gt;"</formula>
    </cfRule>
  </conditionalFormatting>
  <conditionalFormatting sqref="B13">
    <cfRule type="expression" dxfId="7" priority="36">
      <formula>#REF!="&gt;"</formula>
    </cfRule>
  </conditionalFormatting>
  <conditionalFormatting sqref="B30:I36">
    <cfRule type="expression" dxfId="6" priority="1">
      <formula>$I$27&lt;&gt;"Armatures d'effort tranchant nécessaires"</formula>
    </cfRule>
  </conditionalFormatting>
  <conditionalFormatting sqref="K30:S36">
    <cfRule type="expression" dxfId="5" priority="20">
      <formula>$I$27="Armatures d'effort tranchant nécessaires"</formula>
    </cfRule>
  </conditionalFormatting>
  <conditionalFormatting sqref="L40">
    <cfRule type="expression" dxfId="4" priority="5">
      <formula>$I$27&lt;&gt;"Armatures d'effort tranchant nécessaires"</formula>
    </cfRule>
  </conditionalFormatting>
  <conditionalFormatting sqref="I35 F35">
    <cfRule type="expression" dxfId="3" priority="3">
      <formula>$F$35="&gt;"</formula>
    </cfRule>
    <cfRule type="expression" dxfId="2" priority="21">
      <formula>$F$35="&lt;"</formula>
    </cfRule>
  </conditionalFormatting>
  <conditionalFormatting sqref="F36 I36">
    <cfRule type="expression" dxfId="1" priority="2">
      <formula>$F$36="&gt;"</formula>
    </cfRule>
    <cfRule type="expression" dxfId="0" priority="4">
      <formula>$F$36="&lt;"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ARTELIAGROUP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THEBAULT Jerome</dc:creator>
  <cp:keywords/>
  <dc:description/>
  <cp:lastModifiedBy>LOYSEL Arthur</cp:lastModifiedBy>
  <cp:revision/>
  <dcterms:created xsi:type="dcterms:W3CDTF">2017-04-25T08:53:38Z</dcterms:created>
  <dcterms:modified xsi:type="dcterms:W3CDTF">2024-10-25T04:05:00Z</dcterms:modified>
  <cp:category/>
  <cp:contentStatus/>
</cp:coreProperties>
</file>