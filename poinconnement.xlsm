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1" codeName="{00000000-0000-0000-0000-000000000000}"/>
  <workbookPr codeName="ThisWorkbook" defaultThemeVersion="166925"/>
  <mc:AlternateContent xmlns:mc="http://schemas.openxmlformats.org/markup-compatibility/2006">
    <mc:Choice Requires="x15">
      <x15ac:absPath xmlns:x15ac="http://schemas.microsoft.com/office/spreadsheetml/2010/11/ac" url="C:\Stage_2A\standardisation_artelia\Notice\poinconnement\"/>
    </mc:Choice>
  </mc:AlternateContent>
  <xr:revisionPtr revIDLastSave="1" documentId="13_ncr:1_{19127446-474B-4EAE-9DFD-F1064382CC51}" xr6:coauthVersionLast="47" xr6:coauthVersionMax="47" xr10:uidLastSave="{E41D6ED5-4B39-47C0-8982-9A762775B0F6}"/>
  <bookViews>
    <workbookView xWindow="-108" yWindow="-108" windowWidth="23256" windowHeight="14016" firstSheet="2" activeTab="2" xr2:uid="{BFBA2E29-0CCF-4D8F-9063-B9BF1506B877}"/>
  </bookViews>
  <sheets>
    <sheet name="Suivi des modifications" sheetId="3" r:id="rId1"/>
    <sheet name="Manuel d'utilisation" sheetId="2" r:id="rId2"/>
    <sheet name="Poinçonnement" sheetId="1" r:id="rId3"/>
  </sheets>
  <definedNames>
    <definedName name="_xlnm.Print_Area" localSheetId="2">Poinçonnement!$B$3:$H$66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 i="1" l="1"/>
  <c r="C27" i="1"/>
  <c r="B62" i="1" l="1"/>
  <c r="B60" i="1"/>
  <c r="C81" i="1"/>
  <c r="C88" i="1"/>
  <c r="C87" i="1"/>
  <c r="C98" i="1" l="1"/>
  <c r="C97" i="1"/>
  <c r="C83" i="1"/>
  <c r="C132" i="1"/>
  <c r="C131" i="1" s="1"/>
  <c r="C142" i="1"/>
  <c r="C137" i="1"/>
  <c r="C121" i="1"/>
  <c r="C114" i="1"/>
  <c r="C113" i="1" s="1"/>
  <c r="N110" i="1" l="1"/>
  <c r="F23" i="1"/>
  <c r="C94" i="1"/>
  <c r="F57" i="1" s="1"/>
  <c r="C153" i="1" l="1"/>
  <c r="C122" i="1"/>
  <c r="C138" i="1"/>
  <c r="N137" i="1"/>
  <c r="C133" i="1"/>
  <c r="C130" i="1" s="1"/>
  <c r="C99" i="1"/>
  <c r="C143" i="1"/>
  <c r="C118" i="1"/>
  <c r="C115" i="1"/>
  <c r="N111" i="1"/>
  <c r="C86" i="1"/>
  <c r="C110" i="1"/>
  <c r="C82" i="1"/>
  <c r="C146" i="1" l="1"/>
  <c r="C112" i="1"/>
  <c r="C116" i="1" s="1"/>
  <c r="N114" i="1"/>
  <c r="N115" i="1" s="1"/>
  <c r="N129" i="1"/>
  <c r="N118" i="1"/>
  <c r="C119" i="1"/>
  <c r="C134" i="1"/>
  <c r="C84" i="1"/>
  <c r="C91" i="1" s="1"/>
  <c r="M146" i="1" l="1"/>
  <c r="C160" i="1"/>
  <c r="C154" i="1" s="1"/>
  <c r="F58" i="1" s="1"/>
  <c r="E59" i="1" s="1"/>
  <c r="C147" i="1"/>
  <c r="M147" i="1"/>
  <c r="C161" i="1"/>
  <c r="F61" i="1" s="1"/>
  <c r="C90" i="1"/>
  <c r="F60" i="1" s="1"/>
  <c r="E62" i="1" l="1"/>
  <c r="F66" i="1"/>
  <c r="F65" i="1"/>
  <c r="C100" i="1"/>
</calcChain>
</file>

<file path=xl/sharedStrings.xml><?xml version="1.0" encoding="utf-8"?>
<sst xmlns="http://schemas.openxmlformats.org/spreadsheetml/2006/main" count="236" uniqueCount="166">
  <si>
    <t>SUIVI DES MODIFICATIONS</t>
  </si>
  <si>
    <t>Date</t>
  </si>
  <si>
    <t>Auteur</t>
  </si>
  <si>
    <t>Description</t>
  </si>
  <si>
    <t>Arthur Loysel (Stagiaire)</t>
  </si>
  <si>
    <t>Création de la feuille</t>
  </si>
  <si>
    <t>Manuel d'utilisation</t>
  </si>
  <si>
    <t>Bibliographie</t>
  </si>
  <si>
    <t>Ce fichier contient des feuilles de calculs qui sont présentées comme suit:</t>
  </si>
  <si>
    <t>Maîtrise de l'Eurocode 2, J. ROUX</t>
  </si>
  <si>
    <t>Onglet 1</t>
  </si>
  <si>
    <t>Suivi des modifications</t>
  </si>
  <si>
    <t>NF EN 1992-1-1 Octobre 2005</t>
  </si>
  <si>
    <t>Onglet 2</t>
  </si>
  <si>
    <t>NF EN 1992-1-1/NA 24 Mars 2016</t>
  </si>
  <si>
    <t>Onglet 3</t>
  </si>
  <si>
    <t>Poinçonnement</t>
  </si>
  <si>
    <t>Mode d'utilisation</t>
  </si>
  <si>
    <t>-Cette feuille sert à calculer la section d'armature de poinçonnement pour différentes configurations (dalle ou semelle de poteau, emplacement du poteau, section rectangulaire ou circulaire…).
-Les données et les résultats sont condensés en une page.
-Vous devez commencer par indiquer toutes les informations concernant la situation de votre projet. Une fois que c'est fait, vous devez cliquer sur le bouton de macro, ce qui va supprimer les lignes inutiles par rapport à votre situation.
-Vous devez calculer le périmètre du contour de contrôle suivant la section que vous avez. Une image est disponible dans les commentaires pour vous indiquer quel contour prendre.
-Rentrez les valeurs nécessaires restantes. Les résultats sont obtenus en bas de page.
-Dans le cas où vous avez des poteaux avec chapiteaux, allez voir EC2 6.4.2 (8),(9),(10),(11) ou Maîtrise de l'eurocode 2 Jean Roux Chapitre 5 Partie 1.5 pour savoir quel contour de contrôle prendre.
-Les calculs intermédiaires sont situés en bas de page et ont été masqué.
-Si vous vous rendez compte qu'il manque une explication sur une valeur à rentrer et qu'il n'y a pas d'image dans les commentaires pour l'expliquer, vous pouvez cliquer sur le deuxième bouton de macro qui va afficher toutes les images. Si là encore, vous ne trouvez pas ce que vous cherchez, veuillez aller directement dans l'EC2 section 6.4.</t>
  </si>
  <si>
    <t>Limites d'utilisation</t>
  </si>
  <si>
    <r>
      <t xml:space="preserve">-Dans le cas de poteaux de rive ou d'angle soumis à des moments fléchissants, si l'excentricité de la charge est dirigée vers l'extérieur de la dalle, vous allez devoir calculer vous-même le coefficient </t>
    </r>
    <r>
      <rPr>
        <sz val="11"/>
        <color theme="1"/>
        <rFont val="Symbol"/>
        <family val="1"/>
        <charset val="2"/>
      </rPr>
      <t xml:space="preserve">b </t>
    </r>
    <r>
      <rPr>
        <sz val="11"/>
        <color theme="1"/>
        <rFont val="Calibri"/>
        <family val="2"/>
        <scheme val="minor"/>
      </rPr>
      <t xml:space="preserve">pour trouver la section d'armature. Voir EC2 6.4.3 (3),(4),(5) ou Maîtrise de l'eurocode 2 Jean Roux Chapitre 5 Partie 2.2.1.4 et 2.2.1.5.
-Cette feuille ne calcule pas la section minimale d'armature de poinçonnement. La formule pour la calculer est disponible en commentaire. </t>
    </r>
  </si>
  <si>
    <t>Dalles</t>
  </si>
  <si>
    <t>Poteau intérieur</t>
  </si>
  <si>
    <t>Oui</t>
  </si>
  <si>
    <t>Centrée</t>
  </si>
  <si>
    <t>Rectangulaire</t>
  </si>
  <si>
    <t>Semelles de poteaux</t>
  </si>
  <si>
    <t>Poteau de rive</t>
  </si>
  <si>
    <t>Non</t>
  </si>
  <si>
    <t>Excentrée</t>
  </si>
  <si>
    <t>Circulaire</t>
  </si>
  <si>
    <r>
      <t>POIN</t>
    </r>
    <r>
      <rPr>
        <b/>
        <u/>
        <sz val="18"/>
        <color theme="1"/>
        <rFont val="Calibri"/>
        <family val="2"/>
      </rPr>
      <t>ÇONNEMENT</t>
    </r>
  </si>
  <si>
    <t>Poteau d'angle</t>
  </si>
  <si>
    <t>Remplir les cellules:</t>
  </si>
  <si>
    <t>COMMENTAIRES</t>
  </si>
  <si>
    <t>Les cellules en bleu correspondent aux résultats</t>
  </si>
  <si>
    <t>Projet :</t>
  </si>
  <si>
    <t>L15</t>
  </si>
  <si>
    <t>Situation de projet</t>
  </si>
  <si>
    <t>Ouvrage à traiter</t>
  </si>
  <si>
    <t>Emplacement du poteau</t>
  </si>
  <si>
    <t>Section</t>
  </si>
  <si>
    <t>Structure contreventée ?</t>
  </si>
  <si>
    <t>Localisation de la charge par rapport au contour</t>
  </si>
  <si>
    <t>Charge excentrée dans les deux directions ?</t>
  </si>
  <si>
    <t>Paramètres géométriques</t>
  </si>
  <si>
    <r>
      <t>u</t>
    </r>
    <r>
      <rPr>
        <vertAlign val="subscript"/>
        <sz val="11"/>
        <color theme="1"/>
        <rFont val="Calibri"/>
        <family val="2"/>
        <scheme val="minor"/>
      </rPr>
      <t>1</t>
    </r>
  </si>
  <si>
    <t>Contour de contrôle de référence</t>
  </si>
  <si>
    <t>m</t>
  </si>
  <si>
    <r>
      <t>u</t>
    </r>
    <r>
      <rPr>
        <vertAlign val="subscript"/>
        <sz val="11"/>
        <color theme="1"/>
        <rFont val="Calibri"/>
        <family val="2"/>
        <scheme val="minor"/>
      </rPr>
      <t>0</t>
    </r>
  </si>
  <si>
    <t>Contour de l'aire chargée</t>
  </si>
  <si>
    <r>
      <t>d</t>
    </r>
    <r>
      <rPr>
        <vertAlign val="subscript"/>
        <sz val="11"/>
        <color theme="1"/>
        <rFont val="Calibri"/>
        <family val="2"/>
        <scheme val="minor"/>
      </rPr>
      <t>y</t>
    </r>
  </si>
  <si>
    <t>Hauteur utile (direction y)</t>
  </si>
  <si>
    <r>
      <t>d</t>
    </r>
    <r>
      <rPr>
        <vertAlign val="subscript"/>
        <sz val="11"/>
        <color theme="1"/>
        <rFont val="Calibri"/>
        <family val="2"/>
        <scheme val="minor"/>
      </rPr>
      <t>z</t>
    </r>
  </si>
  <si>
    <t>Hauteur utile (direction z)</t>
  </si>
  <si>
    <t>d</t>
  </si>
  <si>
    <t>Hauteur utile</t>
  </si>
  <si>
    <t>a</t>
  </si>
  <si>
    <t>Distance du nu du poteau au contour de contrôle considéré</t>
  </si>
  <si>
    <r>
      <t>A</t>
    </r>
    <r>
      <rPr>
        <vertAlign val="subscript"/>
        <sz val="11"/>
        <color theme="1"/>
        <rFont val="Calibri"/>
        <family val="2"/>
        <scheme val="minor"/>
      </rPr>
      <t>cy</t>
    </r>
  </si>
  <si>
    <t>Aires des sections de béton qui correspondent aux efforts normaux Ned,y et Ned,z pris en compte.</t>
  </si>
  <si>
    <t>m²</t>
  </si>
  <si>
    <t>Si Ned,y,z=0 rentrez 1 et masquez les lignes correspondantes pour l'impression</t>
  </si>
  <si>
    <r>
      <t>A</t>
    </r>
    <r>
      <rPr>
        <vertAlign val="subscript"/>
        <sz val="11"/>
        <color theme="1"/>
        <rFont val="Calibri"/>
        <family val="2"/>
        <scheme val="minor"/>
      </rPr>
      <t>cz</t>
    </r>
  </si>
  <si>
    <r>
      <t>c</t>
    </r>
    <r>
      <rPr>
        <vertAlign val="subscript"/>
        <sz val="11"/>
        <color theme="1"/>
        <rFont val="Calibri"/>
        <family val="2"/>
        <scheme val="minor"/>
      </rPr>
      <t>1</t>
    </r>
  </si>
  <si>
    <r>
      <t>c</t>
    </r>
    <r>
      <rPr>
        <vertAlign val="subscript"/>
        <sz val="11"/>
        <color theme="1"/>
        <rFont val="Calibri"/>
        <family val="2"/>
        <scheme val="minor"/>
      </rPr>
      <t>2</t>
    </r>
  </si>
  <si>
    <t>e</t>
  </si>
  <si>
    <r>
      <t>Distance de dl à l’axe autour duquel le moment M</t>
    </r>
    <r>
      <rPr>
        <i/>
        <vertAlign val="subscript"/>
        <sz val="11"/>
        <color theme="1"/>
        <rFont val="Calibri"/>
        <family val="2"/>
        <scheme val="minor"/>
      </rPr>
      <t>Ed</t>
    </r>
    <r>
      <rPr>
        <i/>
        <sz val="11"/>
        <color theme="1"/>
        <rFont val="Calibri"/>
        <family val="2"/>
        <scheme val="minor"/>
      </rPr>
      <t xml:space="preserve"> agit</t>
    </r>
  </si>
  <si>
    <t>D</t>
  </si>
  <si>
    <t>Diamètre du poteau circulaire</t>
  </si>
  <si>
    <r>
      <t>e</t>
    </r>
    <r>
      <rPr>
        <vertAlign val="subscript"/>
        <sz val="11"/>
        <color theme="1"/>
        <rFont val="Calibri"/>
        <family val="2"/>
        <scheme val="minor"/>
      </rPr>
      <t>y</t>
    </r>
  </si>
  <si>
    <r>
      <t>Excentricités de M</t>
    </r>
    <r>
      <rPr>
        <i/>
        <vertAlign val="subscript"/>
        <sz val="11"/>
        <color theme="1"/>
        <rFont val="Calibri"/>
        <family val="2"/>
        <scheme val="minor"/>
      </rPr>
      <t>Ed</t>
    </r>
    <r>
      <rPr>
        <i/>
        <sz val="11"/>
        <color theme="1"/>
        <rFont val="Calibri"/>
        <family val="2"/>
        <scheme val="minor"/>
      </rPr>
      <t>/V</t>
    </r>
    <r>
      <rPr>
        <i/>
        <vertAlign val="subscript"/>
        <sz val="11"/>
        <color theme="1"/>
        <rFont val="Calibri"/>
        <family val="2"/>
        <scheme val="minor"/>
      </rPr>
      <t>Ed</t>
    </r>
    <r>
      <rPr>
        <i/>
        <sz val="11"/>
        <color theme="1"/>
        <rFont val="Calibri"/>
        <family val="2"/>
        <scheme val="minor"/>
      </rPr>
      <t xml:space="preserve"> suivant les axes y et z</t>
    </r>
  </si>
  <si>
    <r>
      <t>e</t>
    </r>
    <r>
      <rPr>
        <vertAlign val="subscript"/>
        <sz val="11"/>
        <color theme="1"/>
        <rFont val="Calibri"/>
        <family val="2"/>
        <scheme val="minor"/>
      </rPr>
      <t>z</t>
    </r>
  </si>
  <si>
    <r>
      <t>b</t>
    </r>
    <r>
      <rPr>
        <vertAlign val="subscript"/>
        <sz val="11"/>
        <color theme="1"/>
        <rFont val="Calibri"/>
        <family val="2"/>
        <scheme val="minor"/>
      </rPr>
      <t>y</t>
    </r>
  </si>
  <si>
    <t>Dimensions du contour de contrôle</t>
  </si>
  <si>
    <r>
      <t>b</t>
    </r>
    <r>
      <rPr>
        <vertAlign val="subscript"/>
        <sz val="11"/>
        <color theme="1"/>
        <rFont val="Calibri"/>
        <family val="2"/>
        <scheme val="minor"/>
      </rPr>
      <t>z</t>
    </r>
  </si>
  <si>
    <r>
      <t>u</t>
    </r>
    <r>
      <rPr>
        <vertAlign val="subscript"/>
        <sz val="11"/>
        <color theme="1"/>
        <rFont val="Calibri"/>
        <family val="2"/>
        <scheme val="minor"/>
      </rPr>
      <t>1</t>
    </r>
    <r>
      <rPr>
        <sz val="11"/>
        <color theme="1"/>
        <rFont val="Calibri"/>
        <family val="2"/>
        <scheme val="minor"/>
      </rPr>
      <t>*</t>
    </r>
  </si>
  <si>
    <t>Contour de contrôle réduit</t>
  </si>
  <si>
    <r>
      <t>e</t>
    </r>
    <r>
      <rPr>
        <vertAlign val="subscript"/>
        <sz val="11"/>
        <color theme="1"/>
        <rFont val="Calibri"/>
        <family val="2"/>
        <scheme val="minor"/>
      </rPr>
      <t>par</t>
    </r>
  </si>
  <si>
    <t>Excentricité dans le sens parallèle au bord libre</t>
  </si>
  <si>
    <r>
      <t>ρl</t>
    </r>
    <r>
      <rPr>
        <vertAlign val="subscript"/>
        <sz val="11"/>
        <color theme="1"/>
        <rFont val="Calibri"/>
        <family val="2"/>
      </rPr>
      <t>y</t>
    </r>
  </si>
  <si>
    <t>Pourcentages d’armatures tendues dans les directions y et z</t>
  </si>
  <si>
    <t>%</t>
  </si>
  <si>
    <t>Il s’agit des valeurs moyennes calculées pour une largeur de dalle égale à la largeur du poteau augmentée de 3.d de part et d’autre de celui-ci.</t>
  </si>
  <si>
    <r>
      <t>ρl</t>
    </r>
    <r>
      <rPr>
        <vertAlign val="subscript"/>
        <sz val="11"/>
        <color theme="1"/>
        <rFont val="Calibri"/>
        <family val="2"/>
      </rPr>
      <t>z</t>
    </r>
  </si>
  <si>
    <t>Angle des armatures de poinçonnement</t>
  </si>
  <si>
    <t>°</t>
  </si>
  <si>
    <t>Hypothèses béton</t>
  </si>
  <si>
    <r>
      <t>f</t>
    </r>
    <r>
      <rPr>
        <vertAlign val="subscript"/>
        <sz val="11"/>
        <color theme="1"/>
        <rFont val="Calibri"/>
        <family val="2"/>
      </rPr>
      <t>ck</t>
    </r>
  </si>
  <si>
    <t>Résistance caractéristique à la compression du béton à 28 jours</t>
  </si>
  <si>
    <t>MPa</t>
  </si>
  <si>
    <r>
      <t>g</t>
    </r>
    <r>
      <rPr>
        <vertAlign val="subscript"/>
        <sz val="11"/>
        <color theme="1"/>
        <rFont val="Calibri"/>
        <family val="2"/>
        <scheme val="minor"/>
      </rPr>
      <t>c</t>
    </r>
  </si>
  <si>
    <t>Coefficient partiel de sécurité</t>
  </si>
  <si>
    <t>Hypothèses acier</t>
  </si>
  <si>
    <r>
      <t>f</t>
    </r>
    <r>
      <rPr>
        <vertAlign val="subscript"/>
        <sz val="11"/>
        <color theme="1"/>
        <rFont val="Calibri"/>
        <family val="2"/>
      </rPr>
      <t>ywk</t>
    </r>
  </si>
  <si>
    <t>Limite d'élasticité des aciers</t>
  </si>
  <si>
    <r>
      <t>g</t>
    </r>
    <r>
      <rPr>
        <vertAlign val="subscript"/>
        <sz val="11"/>
        <color theme="1"/>
        <rFont val="Calibri"/>
        <family val="2"/>
        <scheme val="minor"/>
      </rPr>
      <t>s</t>
    </r>
  </si>
  <si>
    <t>Sollicitations</t>
  </si>
  <si>
    <r>
      <t>N</t>
    </r>
    <r>
      <rPr>
        <vertAlign val="subscript"/>
        <sz val="11"/>
        <color theme="1"/>
        <rFont val="Calibri"/>
        <family val="2"/>
        <scheme val="minor"/>
      </rPr>
      <t>Ed,y</t>
    </r>
  </si>
  <si>
    <t>efforts normaux agissant sur les largeurs de dalle participante associées aux poteaux</t>
  </si>
  <si>
    <t>MN</t>
  </si>
  <si>
    <r>
      <t>N</t>
    </r>
    <r>
      <rPr>
        <vertAlign val="subscript"/>
        <sz val="11"/>
        <color theme="1"/>
        <rFont val="Calibri"/>
        <family val="2"/>
        <scheme val="minor"/>
      </rPr>
      <t>Ed,z</t>
    </r>
  </si>
  <si>
    <r>
      <t>V</t>
    </r>
    <r>
      <rPr>
        <vertAlign val="subscript"/>
        <sz val="11"/>
        <color theme="1"/>
        <rFont val="Calibri"/>
        <family val="2"/>
        <scheme val="minor"/>
      </rPr>
      <t>Ed</t>
    </r>
  </si>
  <si>
    <t>Effort tranchant (charge poinçonnante)</t>
  </si>
  <si>
    <r>
      <t>Δv</t>
    </r>
    <r>
      <rPr>
        <vertAlign val="subscript"/>
        <sz val="11"/>
        <color theme="1"/>
        <rFont val="Calibri"/>
        <family val="2"/>
      </rPr>
      <t>Ed</t>
    </r>
  </si>
  <si>
    <t>Valeur nette de la force de réaction verticale à l’intérieur du contour de contrôle considéré (réaction du sol moins poids propre de la fondation)</t>
  </si>
  <si>
    <r>
      <t>M</t>
    </r>
    <r>
      <rPr>
        <vertAlign val="subscript"/>
        <sz val="11"/>
        <color theme="1"/>
        <rFont val="Calibri"/>
        <family val="2"/>
      </rPr>
      <t>Ed</t>
    </r>
  </si>
  <si>
    <t>Moment fléchissant causé par l'excentricité</t>
  </si>
  <si>
    <t>Vérifications</t>
  </si>
  <si>
    <r>
      <t>V</t>
    </r>
    <r>
      <rPr>
        <vertAlign val="subscript"/>
        <sz val="11"/>
        <rFont val="Calibri"/>
        <family val="2"/>
        <scheme val="minor"/>
      </rPr>
      <t>Rd,max</t>
    </r>
  </si>
  <si>
    <t>Valeur maximale de calcul de la résistance au poinçonnement</t>
  </si>
  <si>
    <r>
      <t>v</t>
    </r>
    <r>
      <rPr>
        <vertAlign val="subscript"/>
        <sz val="11"/>
        <color theme="1"/>
        <rFont val="Calibri"/>
        <family val="2"/>
        <scheme val="minor"/>
      </rPr>
      <t>Ed0</t>
    </r>
  </si>
  <si>
    <t>Contrainte sur le contour de l'aire chargée</t>
  </si>
  <si>
    <r>
      <t>v</t>
    </r>
    <r>
      <rPr>
        <vertAlign val="subscript"/>
        <sz val="11"/>
        <color theme="1"/>
        <rFont val="Calibri"/>
        <family val="2"/>
        <scheme val="minor"/>
      </rPr>
      <t>Ed0</t>
    </r>
    <r>
      <rPr>
        <sz val="11"/>
        <color theme="1"/>
        <rFont val="Calibri"/>
        <family val="2"/>
        <scheme val="minor"/>
      </rPr>
      <t xml:space="preserve"> ≤ V</t>
    </r>
    <r>
      <rPr>
        <vertAlign val="subscript"/>
        <sz val="11"/>
        <color theme="1"/>
        <rFont val="Calibri"/>
        <family val="2"/>
        <scheme val="minor"/>
      </rPr>
      <t>Rd,max</t>
    </r>
    <r>
      <rPr>
        <sz val="11"/>
        <color theme="1"/>
        <rFont val="Calibri"/>
        <family val="2"/>
        <scheme val="minor"/>
      </rPr>
      <t xml:space="preserve"> ?</t>
    </r>
  </si>
  <si>
    <t>Valeur de calcul de la résistance au poinçonnement</t>
  </si>
  <si>
    <r>
      <t>v</t>
    </r>
    <r>
      <rPr>
        <vertAlign val="subscript"/>
        <sz val="11"/>
        <color theme="1"/>
        <rFont val="Calibri"/>
        <family val="2"/>
        <scheme val="minor"/>
      </rPr>
      <t>Ed</t>
    </r>
  </si>
  <si>
    <t>Contrainte sur le contour de l'aire de contrôle de référence</t>
  </si>
  <si>
    <t>Calcul des armatures</t>
  </si>
  <si>
    <r>
      <t>A</t>
    </r>
    <r>
      <rPr>
        <vertAlign val="subscript"/>
        <sz val="11"/>
        <color theme="1"/>
        <rFont val="Calibri"/>
        <family val="2"/>
        <scheme val="minor"/>
      </rPr>
      <t>sw</t>
    </r>
    <r>
      <rPr>
        <sz val="11"/>
        <color theme="1"/>
        <rFont val="Calibri"/>
        <family val="2"/>
        <scheme val="minor"/>
      </rPr>
      <t>/s</t>
    </r>
    <r>
      <rPr>
        <vertAlign val="subscript"/>
        <sz val="11"/>
        <color theme="1"/>
        <rFont val="Calibri"/>
        <family val="2"/>
        <scheme val="minor"/>
      </rPr>
      <t>r</t>
    </r>
  </si>
  <si>
    <t>Section des armatures de poinçonnement</t>
  </si>
  <si>
    <t>cm²/cm</t>
  </si>
  <si>
    <r>
      <t>u</t>
    </r>
    <r>
      <rPr>
        <vertAlign val="subscript"/>
        <sz val="11"/>
        <color theme="1"/>
        <rFont val="Calibri"/>
        <family val="2"/>
        <scheme val="minor"/>
      </rPr>
      <t>out,ef</t>
    </r>
  </si>
  <si>
    <t>Contour au-delà duquel aucune armature n'est requise</t>
  </si>
  <si>
    <t>CRd,c</t>
  </si>
  <si>
    <t>k</t>
  </si>
  <si>
    <t>ρl</t>
  </si>
  <si>
    <t>vmin</t>
  </si>
  <si>
    <t>k1</t>
  </si>
  <si>
    <r>
      <t>s</t>
    </r>
    <r>
      <rPr>
        <sz val="11"/>
        <color theme="1"/>
        <rFont val="Calibri"/>
        <family val="2"/>
        <scheme val="minor"/>
      </rPr>
      <t>cp</t>
    </r>
  </si>
  <si>
    <r>
      <t>s</t>
    </r>
    <r>
      <rPr>
        <sz val="11"/>
        <color theme="1"/>
        <rFont val="Calibri"/>
        <family val="2"/>
        <scheme val="minor"/>
      </rPr>
      <t>cy</t>
    </r>
  </si>
  <si>
    <r>
      <t>s</t>
    </r>
    <r>
      <rPr>
        <sz val="11"/>
        <color theme="1"/>
        <rFont val="Calibri"/>
        <family val="2"/>
        <scheme val="minor"/>
      </rPr>
      <t>cz</t>
    </r>
  </si>
  <si>
    <t>Vrd,c (dalle)</t>
  </si>
  <si>
    <t>Vrd(semelle)</t>
  </si>
  <si>
    <t>n</t>
  </si>
  <si>
    <t>Asw</t>
  </si>
  <si>
    <t>sr</t>
  </si>
  <si>
    <t>fywd,ef</t>
  </si>
  <si>
    <t>Mpa</t>
  </si>
  <si>
    <t>VRd,cs</t>
  </si>
  <si>
    <t>c1/c2</t>
  </si>
  <si>
    <t>≤0,5</t>
  </si>
  <si>
    <t>≥3</t>
  </si>
  <si>
    <t>dalle</t>
  </si>
  <si>
    <t>Semelle</t>
  </si>
  <si>
    <t>centrée</t>
  </si>
  <si>
    <t>Charge centrée</t>
  </si>
  <si>
    <t>ved</t>
  </si>
  <si>
    <t>Ved,red</t>
  </si>
  <si>
    <t>charges excentrée poteau rectangulaire</t>
  </si>
  <si>
    <t>b</t>
  </si>
  <si>
    <t>Charge excentrée</t>
  </si>
  <si>
    <t>poteau rectangulaire</t>
  </si>
  <si>
    <t>W1</t>
  </si>
  <si>
    <t>charges excentrée poteau circulaire</t>
  </si>
  <si>
    <t>poteau circulaire</t>
  </si>
  <si>
    <t>Charges excentrée dans les deux directions</t>
  </si>
  <si>
    <t>Poteaux de rive soumis à des moments fléchissants</t>
  </si>
  <si>
    <t>Flexion déviée</t>
  </si>
  <si>
    <t>c1/(2*c2)</t>
  </si>
  <si>
    <t>Cas des poteaux d'angle</t>
  </si>
  <si>
    <t>Contreventée</t>
  </si>
  <si>
    <t>semelle</t>
  </si>
  <si>
    <t>Vérification</t>
  </si>
  <si>
    <t>u0</t>
  </si>
  <si>
    <r>
      <t xml:space="preserve">b </t>
    </r>
    <r>
      <rPr>
        <sz val="11"/>
        <color theme="1"/>
        <rFont val="Calibri"/>
        <family val="2"/>
        <scheme val="minor"/>
      </rPr>
      <t>finale</t>
    </r>
  </si>
  <si>
    <t>ved finale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</si>
</sst>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quot;m&quot;"/>
    <numFmt numFmtId="165" formatCode="0.000"/>
  </numFmts>
  <fonts count="30">
    <font>
      <sz val="11"/>
      <color theme="1"/>
      <name val="Calibri"/>
      <family val="2"/>
      <scheme val="minor"/>
    </font>
    <font>
      <sz val="11"/>
      <color rgb="FFFF0000"/>
      <name val="Calibri"/>
      <family val="2"/>
      <scheme val="minor"/>
    </font>
    <font>
      <sz val="11"/>
      <color theme="1"/>
      <name val="Calibri"/>
      <family val="2"/>
    </font>
    <font>
      <sz val="11"/>
      <color theme="1"/>
      <name val="Symbol"/>
      <family val="1"/>
      <charset val="2"/>
    </font>
    <font>
      <b/>
      <u/>
      <sz val="18"/>
      <color theme="1"/>
      <name val="Calibri"/>
      <family val="2"/>
      <scheme val="minor"/>
    </font>
    <font>
      <b/>
      <i/>
      <sz val="11"/>
      <color theme="1"/>
      <name val="Calibri"/>
      <family val="2"/>
      <scheme val="minor"/>
    </font>
    <font>
      <b/>
      <sz val="10"/>
      <color rgb="FF0070C0"/>
      <name val="Calibri"/>
      <family val="2"/>
      <scheme val="minor"/>
    </font>
    <font>
      <sz val="11"/>
      <name val="Calibri"/>
      <family val="2"/>
      <scheme val="minor"/>
    </font>
    <font>
      <b/>
      <i/>
      <u/>
      <sz val="10"/>
      <name val="Calibri"/>
      <family val="2"/>
      <scheme val="minor"/>
    </font>
    <font>
      <b/>
      <sz val="12"/>
      <color theme="3" tint="-0.249977111117893"/>
      <name val="Calibri"/>
      <family val="2"/>
      <scheme val="minor"/>
    </font>
    <font>
      <b/>
      <u/>
      <sz val="18"/>
      <color theme="1"/>
      <name val="Calibri"/>
      <family val="2"/>
    </font>
    <font>
      <sz val="11"/>
      <color rgb="FF7030A0"/>
      <name val="Calibri"/>
      <family val="2"/>
      <scheme val="minor"/>
    </font>
    <font>
      <b/>
      <sz val="11"/>
      <color theme="1"/>
      <name val="Calibri"/>
      <family val="2"/>
      <scheme val="minor"/>
    </font>
    <font>
      <b/>
      <i/>
      <sz val="11"/>
      <color theme="1"/>
      <name val="Calibri"/>
      <family val="2"/>
    </font>
    <font>
      <i/>
      <sz val="11"/>
      <color theme="1"/>
      <name val="Calibri"/>
      <family val="2"/>
      <scheme val="minor"/>
    </font>
    <font>
      <sz val="8"/>
      <name val="Calibri"/>
      <family val="2"/>
      <scheme val="minor"/>
    </font>
    <font>
      <sz val="11"/>
      <color rgb="FF0070C0"/>
      <name val="Calibri"/>
      <family val="2"/>
      <scheme val="minor"/>
    </font>
    <font>
      <b/>
      <sz val="11"/>
      <color rgb="FF0070C0"/>
      <name val="Calibri"/>
      <family val="2"/>
      <scheme val="minor"/>
    </font>
    <font>
      <vertAlign val="subscript"/>
      <sz val="11"/>
      <color theme="1"/>
      <name val="Calibri"/>
      <family val="2"/>
      <scheme val="minor"/>
    </font>
    <font>
      <vertAlign val="subscript"/>
      <sz val="11"/>
      <color theme="1"/>
      <name val="Calibri"/>
      <family val="2"/>
    </font>
    <font>
      <vertAlign val="subscript"/>
      <sz val="11"/>
      <name val="Calibri"/>
      <family val="2"/>
      <scheme val="minor"/>
    </font>
    <font>
      <i/>
      <vertAlign val="subscript"/>
      <sz val="11"/>
      <color theme="1"/>
      <name val="Calibri"/>
      <family val="2"/>
      <scheme val="minor"/>
    </font>
    <font>
      <b/>
      <sz val="20"/>
      <color theme="1"/>
      <name val="Calibri"/>
      <family val="2"/>
      <scheme val="minor"/>
    </font>
    <font>
      <b/>
      <sz val="11"/>
      <name val="Calibri"/>
      <family val="2"/>
    </font>
    <font>
      <sz val="11"/>
      <name val="Calibri"/>
      <family val="2"/>
    </font>
    <font>
      <b/>
      <sz val="11"/>
      <color theme="1"/>
      <name val="Calibri"/>
      <family val="2"/>
    </font>
    <font>
      <sz val="11"/>
      <color theme="5" tint="-0.24994659260841701"/>
      <name val="Calibri"/>
      <family val="2"/>
      <scheme val="minor"/>
    </font>
    <font>
      <b/>
      <sz val="18"/>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s>
  <fills count="6">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5" tint="0.3999450666829432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3" tint="-0.249977111117893"/>
      </top>
      <bottom style="thin">
        <color indexed="64"/>
      </bottom>
      <diagonal/>
    </border>
    <border>
      <left/>
      <right style="medium">
        <color indexed="64"/>
      </right>
      <top style="thin">
        <color theme="3" tint="-0.249977111117893"/>
      </top>
      <bottom style="thin">
        <color indexed="64"/>
      </bottom>
      <diagonal/>
    </border>
    <border>
      <left style="thin">
        <color indexed="64"/>
      </left>
      <right/>
      <top/>
      <bottom/>
      <diagonal/>
    </border>
    <border>
      <left style="medium">
        <color indexed="64"/>
      </left>
      <right/>
      <top style="medium">
        <color indexed="64"/>
      </top>
      <bottom style="thin">
        <color theme="3" tint="-0.249977111117893"/>
      </bottom>
      <diagonal/>
    </border>
    <border>
      <left/>
      <right/>
      <top style="medium">
        <color indexed="64"/>
      </top>
      <bottom style="thin">
        <color theme="3" tint="-0.249977111117893"/>
      </bottom>
      <diagonal/>
    </border>
    <border>
      <left/>
      <right style="medium">
        <color indexed="64"/>
      </right>
      <top style="medium">
        <color indexed="64"/>
      </top>
      <bottom style="thin">
        <color theme="3" tint="-0.249977111117893"/>
      </bottom>
      <diagonal/>
    </border>
    <border>
      <left style="medium">
        <color indexed="64"/>
      </left>
      <right/>
      <top style="thin">
        <color theme="3" tint="-0.249977111117893"/>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26" fillId="5" borderId="19" applyBorder="0">
      <alignment horizontal="center"/>
    </xf>
  </cellStyleXfs>
  <cellXfs count="132">
    <xf numFmtId="0" fontId="0" fillId="0" borderId="0" xfId="0"/>
    <xf numFmtId="0" fontId="2" fillId="0" borderId="0" xfId="0" applyFont="1"/>
    <xf numFmtId="0" fontId="3" fillId="0" borderId="0" xfId="0" applyFont="1"/>
    <xf numFmtId="0" fontId="1" fillId="0" borderId="0" xfId="0" applyFont="1"/>
    <xf numFmtId="0" fontId="0" fillId="0" borderId="0" xfId="0" applyAlignment="1">
      <alignment vertical="center"/>
    </xf>
    <xf numFmtId="0" fontId="5" fillId="2" borderId="0" xfId="0" applyFont="1" applyFill="1"/>
    <xf numFmtId="0" fontId="6" fillId="0" borderId="0" xfId="0" applyFont="1" applyAlignment="1">
      <alignment vertical="center"/>
    </xf>
    <xf numFmtId="0" fontId="7" fillId="0" borderId="0" xfId="0" applyFont="1" applyAlignment="1">
      <alignment vertical="center"/>
    </xf>
    <xf numFmtId="0" fontId="8" fillId="0" borderId="0" xfId="0" applyFont="1" applyAlignment="1">
      <alignment vertical="center"/>
    </xf>
    <xf numFmtId="0" fontId="9" fillId="2" borderId="0" xfId="0" applyFont="1" applyFill="1" applyAlignment="1">
      <alignment vertical="center"/>
    </xf>
    <xf numFmtId="0" fontId="9" fillId="0" borderId="0" xfId="0" applyFont="1" applyAlignment="1">
      <alignment vertical="center"/>
    </xf>
    <xf numFmtId="164" fontId="0" fillId="3" borderId="1" xfId="0" applyNumberFormat="1" applyFill="1" applyBorder="1" applyAlignment="1">
      <alignment horizontal="center" vertical="center"/>
    </xf>
    <xf numFmtId="0" fontId="7" fillId="0" borderId="0" xfId="0" applyFont="1"/>
    <xf numFmtId="0" fontId="0" fillId="0" borderId="1" xfId="0" applyBorder="1" applyAlignment="1">
      <alignment horizontal="center"/>
    </xf>
    <xf numFmtId="0" fontId="2" fillId="0" borderId="1" xfId="0" applyFont="1" applyBorder="1" applyAlignment="1">
      <alignment horizontal="center"/>
    </xf>
    <xf numFmtId="0" fontId="11" fillId="0" borderId="0" xfId="0" applyFont="1"/>
    <xf numFmtId="0" fontId="0" fillId="0" borderId="0" xfId="0" applyAlignment="1">
      <alignment horizontal="center"/>
    </xf>
    <xf numFmtId="0" fontId="0" fillId="0" borderId="0" xfId="0" applyAlignment="1">
      <alignment horizontal="center" vertical="center"/>
    </xf>
    <xf numFmtId="0" fontId="5" fillId="4" borderId="0" xfId="0" applyFont="1" applyFill="1"/>
    <xf numFmtId="0" fontId="0" fillId="4" borderId="0" xfId="0" applyFill="1"/>
    <xf numFmtId="0" fontId="13" fillId="4" borderId="0" xfId="0" applyFont="1" applyFill="1"/>
    <xf numFmtId="0" fontId="9" fillId="2" borderId="0" xfId="0" applyFont="1" applyFill="1" applyAlignment="1">
      <alignment horizontal="center" vertical="center"/>
    </xf>
    <xf numFmtId="0" fontId="9" fillId="0" borderId="0" xfId="0" applyFont="1" applyAlignment="1">
      <alignment horizontal="center" vertical="center"/>
    </xf>
    <xf numFmtId="0" fontId="0" fillId="4" borderId="0" xfId="0" applyFill="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6" xfId="0" applyBorder="1" applyAlignment="1">
      <alignment horizontal="center" vertical="center"/>
    </xf>
    <xf numFmtId="0" fontId="0" fillId="0" borderId="10"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2" fillId="0" borderId="5" xfId="0" applyFont="1" applyBorder="1" applyAlignment="1">
      <alignment horizontal="center"/>
    </xf>
    <xf numFmtId="0" fontId="3" fillId="0" borderId="7" xfId="0" applyFont="1" applyBorder="1" applyAlignment="1">
      <alignment horizontal="center"/>
    </xf>
    <xf numFmtId="0" fontId="2" fillId="0" borderId="2" xfId="0" applyFont="1" applyBorder="1" applyAlignment="1">
      <alignment horizontal="center"/>
    </xf>
    <xf numFmtId="0" fontId="2" fillId="0" borderId="7" xfId="0" applyFont="1" applyBorder="1" applyAlignment="1">
      <alignment horizontal="center"/>
    </xf>
    <xf numFmtId="0" fontId="7" fillId="0" borderId="2" xfId="0" applyFont="1" applyBorder="1" applyAlignment="1">
      <alignment horizontal="center"/>
    </xf>
    <xf numFmtId="0" fontId="7" fillId="0" borderId="5" xfId="0" applyFont="1" applyBorder="1" applyAlignment="1">
      <alignment horizontal="center"/>
    </xf>
    <xf numFmtId="0" fontId="0" fillId="0" borderId="7" xfId="0" applyBorder="1" applyAlignment="1">
      <alignment horizontal="center"/>
    </xf>
    <xf numFmtId="0" fontId="0" fillId="0" borderId="17" xfId="0" applyBorder="1"/>
    <xf numFmtId="0" fontId="0" fillId="0" borderId="18" xfId="0" applyBorder="1"/>
    <xf numFmtId="0" fontId="0" fillId="0" borderId="1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16" fillId="0" borderId="19" xfId="0" applyFont="1" applyBorder="1"/>
    <xf numFmtId="0" fontId="16" fillId="0" borderId="19" xfId="0" applyFont="1" applyBorder="1" applyAlignment="1">
      <alignment vertical="center"/>
    </xf>
    <xf numFmtId="0" fontId="0" fillId="0" borderId="20" xfId="0" applyBorder="1" applyAlignment="1">
      <alignment vertical="center"/>
    </xf>
    <xf numFmtId="0" fontId="23" fillId="0" borderId="0" xfId="0" applyFont="1"/>
    <xf numFmtId="0" fontId="24" fillId="0" borderId="0" xfId="0" applyFont="1"/>
    <xf numFmtId="0" fontId="13" fillId="0" borderId="0" xfId="0" applyFont="1" applyAlignment="1">
      <alignment horizontal="left"/>
    </xf>
    <xf numFmtId="0" fontId="2" fillId="0" borderId="0" xfId="0" applyFont="1" applyAlignment="1">
      <alignment horizontal="left"/>
    </xf>
    <xf numFmtId="0" fontId="2" fillId="0" borderId="0" xfId="0" applyFont="1" applyAlignment="1">
      <alignment vertical="center"/>
    </xf>
    <xf numFmtId="0" fontId="2" fillId="0" borderId="0" xfId="0" applyFont="1" applyAlignment="1">
      <alignment wrapText="1"/>
    </xf>
    <xf numFmtId="0" fontId="24" fillId="0" borderId="0" xfId="0" applyFont="1" applyAlignment="1">
      <alignment vertical="center"/>
    </xf>
    <xf numFmtId="0" fontId="24" fillId="0" borderId="0" xfId="0" applyFont="1" applyAlignment="1">
      <alignment wrapText="1"/>
    </xf>
    <xf numFmtId="0" fontId="25" fillId="0" borderId="0" xfId="0" applyFont="1" applyAlignment="1">
      <alignment horizontal="left"/>
    </xf>
    <xf numFmtId="0" fontId="24" fillId="0" borderId="0" xfId="0" applyFont="1" applyAlignment="1">
      <alignment horizontal="left"/>
    </xf>
    <xf numFmtId="0" fontId="0" fillId="0" borderId="0" xfId="0" applyAlignment="1">
      <alignment vertical="top" wrapText="1"/>
    </xf>
    <xf numFmtId="0" fontId="0" fillId="0" borderId="26" xfId="0" quotePrefix="1" applyBorder="1" applyAlignment="1">
      <alignment vertical="center" wrapText="1"/>
    </xf>
    <xf numFmtId="0" fontId="0" fillId="0" borderId="0" xfId="0" quotePrefix="1" applyAlignment="1">
      <alignment vertical="center" wrapText="1"/>
    </xf>
    <xf numFmtId="0" fontId="12" fillId="0" borderId="0" xfId="0" applyFont="1" applyAlignment="1">
      <alignment wrapText="1"/>
    </xf>
    <xf numFmtId="0" fontId="12" fillId="0" borderId="0" xfId="0" applyFont="1"/>
    <xf numFmtId="0" fontId="28" fillId="0" borderId="31" xfId="0" applyFont="1" applyBorder="1" applyAlignment="1">
      <alignment horizontal="center"/>
    </xf>
    <xf numFmtId="0" fontId="28" fillId="0" borderId="32" xfId="0" applyFont="1" applyBorder="1" applyAlignment="1">
      <alignment horizontal="center"/>
    </xf>
    <xf numFmtId="0" fontId="28" fillId="0" borderId="33" xfId="0" applyFont="1" applyBorder="1" applyAlignment="1">
      <alignment horizontal="center"/>
    </xf>
    <xf numFmtId="17" fontId="29" fillId="3" borderId="5" xfId="0" applyNumberFormat="1" applyFont="1" applyFill="1" applyBorder="1"/>
    <xf numFmtId="0" fontId="29" fillId="3" borderId="1" xfId="0" applyFont="1" applyFill="1" applyBorder="1"/>
    <xf numFmtId="0" fontId="29" fillId="3" borderId="6" xfId="0" applyFont="1" applyFill="1" applyBorder="1"/>
    <xf numFmtId="0" fontId="29" fillId="3" borderId="5" xfId="0" applyFont="1" applyFill="1" applyBorder="1"/>
    <xf numFmtId="0" fontId="29" fillId="3" borderId="7" xfId="0" applyFont="1" applyFill="1" applyBorder="1"/>
    <xf numFmtId="0" fontId="29" fillId="3" borderId="8" xfId="0" applyFont="1" applyFill="1" applyBorder="1"/>
    <xf numFmtId="0" fontId="29" fillId="3" borderId="9" xfId="0" applyFont="1" applyFill="1" applyBorder="1"/>
    <xf numFmtId="0" fontId="27" fillId="0" borderId="0" xfId="0" applyFont="1" applyAlignment="1">
      <alignment horizontal="center" vertical="center"/>
    </xf>
    <xf numFmtId="0" fontId="0" fillId="0" borderId="0" xfId="0" quotePrefix="1" applyAlignment="1">
      <alignment horizontal="left" vertical="top" wrapText="1"/>
    </xf>
    <xf numFmtId="0" fontId="24" fillId="0" borderId="0" xfId="0" quotePrefix="1" applyFont="1" applyAlignment="1">
      <alignment horizontal="left" vertical="top" wrapText="1"/>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10" xfId="0" applyFon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165" fontId="17" fillId="0" borderId="8" xfId="0" applyNumberFormat="1" applyFont="1" applyBorder="1" applyAlignment="1">
      <alignment horizontal="center"/>
    </xf>
    <xf numFmtId="0" fontId="14" fillId="0" borderId="3" xfId="0" applyFont="1" applyBorder="1" applyAlignment="1">
      <alignment horizontal="center"/>
    </xf>
    <xf numFmtId="0" fontId="14" fillId="0" borderId="14" xfId="0" applyFont="1" applyBorder="1" applyAlignment="1">
      <alignment horizontal="center"/>
    </xf>
    <xf numFmtId="0" fontId="14" fillId="0" borderId="15" xfId="0" applyFont="1" applyBorder="1" applyAlignment="1">
      <alignment horizontal="center"/>
    </xf>
    <xf numFmtId="0" fontId="14" fillId="0" borderId="16" xfId="0" applyFont="1" applyBorder="1" applyAlignment="1">
      <alignment horizontal="center"/>
    </xf>
    <xf numFmtId="0" fontId="14" fillId="0" borderId="1" xfId="0" applyFont="1" applyBorder="1" applyAlignment="1">
      <alignment horizontal="center"/>
    </xf>
    <xf numFmtId="165" fontId="17" fillId="0" borderId="3" xfId="0" applyNumberFormat="1" applyFont="1" applyBorder="1" applyAlignment="1">
      <alignment horizontal="center"/>
    </xf>
    <xf numFmtId="165" fontId="17" fillId="2" borderId="1" xfId="0" applyNumberFormat="1" applyFont="1" applyFill="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3" borderId="3" xfId="0" applyFill="1" applyBorder="1" applyAlignment="1">
      <alignment horizontal="center"/>
    </xf>
    <xf numFmtId="0" fontId="0" fillId="3" borderId="8" xfId="0" applyFill="1" applyBorder="1" applyAlignment="1">
      <alignment horizontal="center"/>
    </xf>
    <xf numFmtId="0" fontId="14" fillId="0" borderId="11" xfId="0" applyFont="1" applyBorder="1" applyAlignment="1">
      <alignment horizontal="center"/>
    </xf>
    <xf numFmtId="0" fontId="14" fillId="0" borderId="12" xfId="0" applyFont="1" applyBorder="1" applyAlignment="1">
      <alignment horizontal="center"/>
    </xf>
    <xf numFmtId="0" fontId="14" fillId="0" borderId="13" xfId="0" applyFont="1" applyBorder="1" applyAlignment="1">
      <alignment horizontal="center"/>
    </xf>
    <xf numFmtId="0" fontId="14" fillId="0" borderId="8" xfId="0" applyFont="1" applyBorder="1" applyAlignment="1">
      <alignment horizontal="center"/>
    </xf>
    <xf numFmtId="0" fontId="14" fillId="0" borderId="1" xfId="0" applyFont="1" applyBorder="1" applyAlignment="1">
      <alignment horizontal="center" vertical="center" wrapText="1"/>
    </xf>
    <xf numFmtId="0" fontId="0" fillId="3" borderId="1" xfId="0"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0" fillId="0" borderId="1" xfId="0" applyBorder="1" applyAlignment="1">
      <alignment horizontal="center"/>
    </xf>
    <xf numFmtId="0" fontId="14" fillId="0" borderId="3"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6" xfId="0" applyFont="1" applyBorder="1" applyAlignment="1">
      <alignment horizontal="center" vertical="center" wrapText="1"/>
    </xf>
    <xf numFmtId="0" fontId="0" fillId="0" borderId="5" xfId="0" applyBorder="1" applyAlignment="1">
      <alignment horizontal="center" vertical="center"/>
    </xf>
    <xf numFmtId="0" fontId="0" fillId="0" borderId="1" xfId="0" applyBorder="1" applyAlignment="1">
      <alignment horizontal="center" vertical="center"/>
    </xf>
    <xf numFmtId="0" fontId="0" fillId="3" borderId="1" xfId="0" applyFill="1" applyBorder="1" applyAlignment="1">
      <alignment horizontal="center" vertical="center"/>
    </xf>
    <xf numFmtId="2" fontId="17" fillId="2" borderId="3" xfId="0" applyNumberFormat="1" applyFont="1" applyFill="1" applyBorder="1" applyAlignment="1">
      <alignment horizontal="center"/>
    </xf>
    <xf numFmtId="0" fontId="0" fillId="2" borderId="1" xfId="0" applyFill="1" applyBorder="1" applyAlignment="1">
      <alignment horizontal="center"/>
    </xf>
    <xf numFmtId="0" fontId="22" fillId="0" borderId="0" xfId="0" applyFont="1" applyAlignment="1">
      <alignment horizontal="center"/>
    </xf>
    <xf numFmtId="0" fontId="22" fillId="0" borderId="22" xfId="0" applyFont="1" applyBorder="1" applyAlignment="1">
      <alignment horizontal="center"/>
    </xf>
    <xf numFmtId="0" fontId="0" fillId="0" borderId="19" xfId="0" applyBorder="1" applyAlignment="1">
      <alignment horizontal="center" wrapText="1"/>
    </xf>
    <xf numFmtId="0" fontId="0" fillId="0" borderId="0" xfId="0" applyAlignment="1">
      <alignment horizontal="center" wrapText="1"/>
    </xf>
    <xf numFmtId="0" fontId="0" fillId="0" borderId="19" xfId="0" applyBorder="1" applyAlignment="1">
      <alignment horizontal="center" vertical="center" wrapText="1"/>
    </xf>
    <xf numFmtId="0" fontId="0" fillId="0" borderId="0" xfId="0" applyAlignment="1">
      <alignment horizontal="center" vertical="center" wrapText="1"/>
    </xf>
    <xf numFmtId="2" fontId="4" fillId="0" borderId="0" xfId="0" applyNumberFormat="1" applyFont="1" applyAlignment="1">
      <alignment horizontal="center" vertical="center"/>
    </xf>
    <xf numFmtId="0" fontId="14" fillId="0" borderId="1" xfId="0" applyFont="1" applyBorder="1" applyAlignment="1">
      <alignment horizontal="center" vertical="center"/>
    </xf>
    <xf numFmtId="0" fontId="0" fillId="3" borderId="4" xfId="0" applyFill="1" applyBorder="1" applyAlignment="1">
      <alignment horizontal="center"/>
    </xf>
    <xf numFmtId="0" fontId="0" fillId="3" borderId="6" xfId="0" applyFill="1" applyBorder="1" applyAlignment="1">
      <alignment horizontal="center"/>
    </xf>
    <xf numFmtId="0" fontId="0" fillId="3" borderId="9" xfId="0" applyFill="1" applyBorder="1" applyAlignment="1">
      <alignment horizontal="center"/>
    </xf>
  </cellXfs>
  <cellStyles count="2">
    <cellStyle name="NA" xfId="1" xr:uid="{EEE2E2DE-A2F9-4B7A-8376-7733FFFCEFDD}"/>
    <cellStyle name="Normal" xfId="0" builtinId="0"/>
  </cellStyles>
  <dxfs count="5">
    <dxf>
      <font>
        <color theme="0"/>
      </font>
      <fill>
        <patternFill patternType="none">
          <bgColor auto="1"/>
        </patternFill>
      </fill>
    </dxf>
    <dxf>
      <fill>
        <patternFill>
          <bgColor rgb="FFCC0000"/>
        </patternFill>
      </fill>
    </dxf>
    <dxf>
      <fill>
        <patternFill>
          <bgColor theme="9"/>
        </patternFill>
      </fill>
    </dxf>
    <dxf>
      <fill>
        <patternFill>
          <bgColor theme="9"/>
        </patternFill>
      </fill>
    </dxf>
    <dxf>
      <fill>
        <patternFill>
          <bgColor theme="5" tint="-0.24994659260841701"/>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26" fmlaLink="$F$11" fmlaRange="$AH$1:$AH$2" noThreeD="1" sel="1" val="0"/>
</file>

<file path=xl/ctrlProps/ctrlProp2.xml><?xml version="1.0" encoding="utf-8"?>
<formControlPr xmlns="http://schemas.microsoft.com/office/spreadsheetml/2009/9/main" objectType="Drop" dropStyle="combo" dx="26" fmlaLink="$F$12" fmlaRange="$AI$1:$AI$3" noThreeD="1" sel="1" val="0"/>
</file>

<file path=xl/ctrlProps/ctrlProp3.xml><?xml version="1.0" encoding="utf-8"?>
<formControlPr xmlns="http://schemas.microsoft.com/office/spreadsheetml/2009/9/main" objectType="Drop" dropStyle="combo" dx="26" fmlaLink="$F$14" fmlaRange="$AJ$1:$AJ$2" noThreeD="1" sel="2" val="0"/>
</file>

<file path=xl/ctrlProps/ctrlProp4.xml><?xml version="1.0" encoding="utf-8"?>
<formControlPr xmlns="http://schemas.microsoft.com/office/spreadsheetml/2009/9/main" objectType="Drop" dropStyle="combo" dx="26" fmlaLink="$F$15" fmlaRange="$AK$1:$AK$2" noThreeD="1" sel="1" val="0"/>
</file>

<file path=xl/ctrlProps/ctrlProp5.xml><?xml version="1.0" encoding="utf-8"?>
<formControlPr xmlns="http://schemas.microsoft.com/office/spreadsheetml/2009/9/main" objectType="Drop" dropStyle="combo" dx="26" fmlaLink="$F$13" fmlaRange="$AL$1:$AL$2" noThreeD="1" sel="1" val="0"/>
</file>

<file path=xl/ctrlProps/ctrlProp6.xml><?xml version="1.0" encoding="utf-8"?>
<formControlPr xmlns="http://schemas.microsoft.com/office/spreadsheetml/2009/9/main" objectType="Drop" dropStyle="combo" dx="26" fmlaLink="$F$16" fmlaRange="$AJ$1:$AJ$2"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8</xdr:col>
      <xdr:colOff>170970</xdr:colOff>
      <xdr:row>16</xdr:row>
      <xdr:rowOff>82129</xdr:rowOff>
    </xdr:from>
    <xdr:to>
      <xdr:col>11</xdr:col>
      <xdr:colOff>372978</xdr:colOff>
      <xdr:row>22</xdr:row>
      <xdr:rowOff>102911</xdr:rowOff>
    </xdr:to>
    <xdr:pic>
      <xdr:nvPicPr>
        <xdr:cNvPr id="9" name="Image 8">
          <a:extLst>
            <a:ext uri="{FF2B5EF4-FFF2-40B4-BE49-F238E27FC236}">
              <a16:creationId xmlns:a16="http://schemas.microsoft.com/office/drawing/2014/main" id="{312B6E82-5019-B8C6-04C2-CE0334FF66F6}"/>
            </a:ext>
          </a:extLst>
        </xdr:cNvPr>
        <xdr:cNvPicPr>
          <a:picLocks noChangeAspect="1"/>
        </xdr:cNvPicPr>
      </xdr:nvPicPr>
      <xdr:blipFill>
        <a:blip xmlns:r="http://schemas.openxmlformats.org/officeDocument/2006/relationships" r:embed="rId1"/>
        <a:stretch>
          <a:fillRect/>
        </a:stretch>
      </xdr:blipFill>
      <xdr:spPr>
        <a:xfrm>
          <a:off x="8015559" y="3194297"/>
          <a:ext cx="2584261" cy="11357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243840</xdr:colOff>
          <xdr:row>10</xdr:row>
          <xdr:rowOff>15240</xdr:rowOff>
        </xdr:from>
        <xdr:to>
          <xdr:col>7</xdr:col>
          <xdr:colOff>731520</xdr:colOff>
          <xdr:row>10</xdr:row>
          <xdr:rowOff>160020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243840</xdr:colOff>
          <xdr:row>11</xdr:row>
          <xdr:rowOff>22860</xdr:rowOff>
        </xdr:from>
        <xdr:to>
          <xdr:col>7</xdr:col>
          <xdr:colOff>731520</xdr:colOff>
          <xdr:row>11</xdr:row>
          <xdr:rowOff>160020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13</xdr:row>
          <xdr:rowOff>7620</xdr:rowOff>
        </xdr:from>
        <xdr:to>
          <xdr:col>7</xdr:col>
          <xdr:colOff>731520</xdr:colOff>
          <xdr:row>13</xdr:row>
          <xdr:rowOff>160020</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243840</xdr:colOff>
          <xdr:row>14</xdr:row>
          <xdr:rowOff>7620</xdr:rowOff>
        </xdr:from>
        <xdr:to>
          <xdr:col>7</xdr:col>
          <xdr:colOff>731520</xdr:colOff>
          <xdr:row>14</xdr:row>
          <xdr:rowOff>160020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243840</xdr:colOff>
          <xdr:row>12</xdr:row>
          <xdr:rowOff>15240</xdr:rowOff>
        </xdr:from>
        <xdr:to>
          <xdr:col>7</xdr:col>
          <xdr:colOff>731520</xdr:colOff>
          <xdr:row>12</xdr:row>
          <xdr:rowOff>160020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243840</xdr:colOff>
          <xdr:row>15</xdr:row>
          <xdr:rowOff>22860</xdr:rowOff>
        </xdr:from>
        <xdr:to>
          <xdr:col>7</xdr:col>
          <xdr:colOff>731520</xdr:colOff>
          <xdr:row>15</xdr:row>
          <xdr:rowOff>175260</xdr:rowOff>
        </xdr:to>
        <xdr:sp macro="" textlink="">
          <xdr:nvSpPr>
            <xdr:cNvPr id="1032" name="Drop Dow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12</xdr:col>
      <xdr:colOff>172238</xdr:colOff>
      <xdr:row>17</xdr:row>
      <xdr:rowOff>12551</xdr:rowOff>
    </xdr:from>
    <xdr:to>
      <xdr:col>14</xdr:col>
      <xdr:colOff>439358</xdr:colOff>
      <xdr:row>24</xdr:row>
      <xdr:rowOff>169486</xdr:rowOff>
    </xdr:to>
    <xdr:pic>
      <xdr:nvPicPr>
        <xdr:cNvPr id="4" name="Image 3" hidden="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1198826" y="3251051"/>
          <a:ext cx="1858356" cy="1243906"/>
        </a:xfrm>
        <a:prstGeom prst="rect">
          <a:avLst/>
        </a:prstGeom>
      </xdr:spPr>
    </xdr:pic>
    <xdr:clientData/>
  </xdr:twoCellAnchor>
  <xdr:twoCellAnchor editAs="oneCell">
    <xdr:from>
      <xdr:col>10</xdr:col>
      <xdr:colOff>698459</xdr:colOff>
      <xdr:row>26</xdr:row>
      <xdr:rowOff>136488</xdr:rowOff>
    </xdr:from>
    <xdr:to>
      <xdr:col>13</xdr:col>
      <xdr:colOff>248200</xdr:colOff>
      <xdr:row>43</xdr:row>
      <xdr:rowOff>63397</xdr:rowOff>
    </xdr:to>
    <xdr:pic>
      <xdr:nvPicPr>
        <xdr:cNvPr id="5" name="Image 4" hidden="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0133812" y="4999841"/>
          <a:ext cx="1927069" cy="1363406"/>
        </a:xfrm>
        <a:prstGeom prst="rect">
          <a:avLst/>
        </a:prstGeom>
      </xdr:spPr>
    </xdr:pic>
    <xdr:clientData/>
  </xdr:twoCellAnchor>
  <xdr:twoCellAnchor editAs="oneCell">
    <xdr:from>
      <xdr:col>8</xdr:col>
      <xdr:colOff>357259</xdr:colOff>
      <xdr:row>26</xdr:row>
      <xdr:rowOff>81941</xdr:rowOff>
    </xdr:from>
    <xdr:to>
      <xdr:col>10</xdr:col>
      <xdr:colOff>590102</xdr:colOff>
      <xdr:row>44</xdr:row>
      <xdr:rowOff>47966</xdr:rowOff>
    </xdr:to>
    <xdr:pic>
      <xdr:nvPicPr>
        <xdr:cNvPr id="7" name="Image 6" hidden="1">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stretch>
          <a:fillRect/>
        </a:stretch>
      </xdr:blipFill>
      <xdr:spPr>
        <a:xfrm>
          <a:off x="8201377" y="4945294"/>
          <a:ext cx="1827888" cy="151064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213360</xdr:colOff>
          <xdr:row>10</xdr:row>
          <xdr:rowOff>38100</xdr:rowOff>
        </xdr:from>
        <xdr:to>
          <xdr:col>10</xdr:col>
          <xdr:colOff>502920</xdr:colOff>
          <xdr:row>16</xdr:row>
          <xdr:rowOff>7620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400" b="1" i="0" u="none" strike="noStrike" baseline="0">
                  <a:solidFill>
                    <a:srgbClr val="000000"/>
                  </a:solidFill>
                  <a:latin typeface="Calibri"/>
                  <a:cs typeface="Calibri"/>
                </a:rPr>
                <a:t>Appuyez sur ce bouton une fois la sélection de la situation de projet terminée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11</xdr:row>
          <xdr:rowOff>106680</xdr:rowOff>
        </xdr:from>
        <xdr:to>
          <xdr:col>13</xdr:col>
          <xdr:colOff>502920</xdr:colOff>
          <xdr:row>14</xdr:row>
          <xdr:rowOff>53340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cs typeface="Calibri"/>
                </a:rPr>
                <a:t>Afficher toutes les lignes</a:t>
              </a:r>
            </a:p>
          </xdr:txBody>
        </xdr:sp>
        <xdr:clientData fPrintsWithSheet="0"/>
      </xdr:twoCellAnchor>
    </mc:Choice>
    <mc:Fallback/>
  </mc:AlternateContent>
  <xdr:twoCellAnchor editAs="oneCell">
    <xdr:from>
      <xdr:col>14</xdr:col>
      <xdr:colOff>559175</xdr:colOff>
      <xdr:row>16</xdr:row>
      <xdr:rowOff>45272</xdr:rowOff>
    </xdr:from>
    <xdr:to>
      <xdr:col>16</xdr:col>
      <xdr:colOff>549089</xdr:colOff>
      <xdr:row>25</xdr:row>
      <xdr:rowOff>78650</xdr:rowOff>
    </xdr:to>
    <xdr:pic>
      <xdr:nvPicPr>
        <xdr:cNvPr id="2" name="Image 1" hidden="1">
          <a:extLst>
            <a:ext uri="{FF2B5EF4-FFF2-40B4-BE49-F238E27FC236}">
              <a16:creationId xmlns:a16="http://schemas.microsoft.com/office/drawing/2014/main" id="{E52F49D2-158C-908E-198B-95CCC763F1E3}"/>
            </a:ext>
          </a:extLst>
        </xdr:cNvPr>
        <xdr:cNvPicPr>
          <a:picLocks noChangeAspect="1"/>
        </xdr:cNvPicPr>
      </xdr:nvPicPr>
      <xdr:blipFill>
        <a:blip xmlns:r="http://schemas.openxmlformats.org/officeDocument/2006/relationships" r:embed="rId5"/>
        <a:stretch>
          <a:fillRect/>
        </a:stretch>
      </xdr:blipFill>
      <xdr:spPr>
        <a:xfrm>
          <a:off x="13176999" y="3104478"/>
          <a:ext cx="1581149" cy="1478937"/>
        </a:xfrm>
        <a:prstGeom prst="rect">
          <a:avLst/>
        </a:prstGeom>
      </xdr:spPr>
    </xdr:pic>
    <xdr:clientData/>
  </xdr:twoCellAnchor>
  <xdr:twoCellAnchor editAs="oneCell">
    <xdr:from>
      <xdr:col>8</xdr:col>
      <xdr:colOff>86454</xdr:colOff>
      <xdr:row>17</xdr:row>
      <xdr:rowOff>31785</xdr:rowOff>
    </xdr:from>
    <xdr:to>
      <xdr:col>11</xdr:col>
      <xdr:colOff>728662</xdr:colOff>
      <xdr:row>22</xdr:row>
      <xdr:rowOff>14725</xdr:rowOff>
    </xdr:to>
    <xdr:pic>
      <xdr:nvPicPr>
        <xdr:cNvPr id="6" name="Image 5" hidden="1">
          <a:extLst>
            <a:ext uri="{FF2B5EF4-FFF2-40B4-BE49-F238E27FC236}">
              <a16:creationId xmlns:a16="http://schemas.microsoft.com/office/drawing/2014/main" id="{4003AC4E-458B-FA35-0052-67146B60420B}"/>
            </a:ext>
          </a:extLst>
        </xdr:cNvPr>
        <xdr:cNvPicPr>
          <a:picLocks noChangeAspect="1"/>
        </xdr:cNvPicPr>
      </xdr:nvPicPr>
      <xdr:blipFill>
        <a:blip xmlns:r="http://schemas.openxmlformats.org/officeDocument/2006/relationships" r:embed="rId6"/>
        <a:stretch>
          <a:fillRect/>
        </a:stretch>
      </xdr:blipFill>
      <xdr:spPr>
        <a:xfrm>
          <a:off x="7911242" y="3289335"/>
          <a:ext cx="3013933" cy="897340"/>
        </a:xfrm>
        <a:prstGeom prst="rect">
          <a:avLst/>
        </a:prstGeom>
      </xdr:spPr>
    </xdr:pic>
    <xdr:clientData/>
  </xdr:twoCellAnchor>
  <xdr:twoCellAnchor editAs="oneCell">
    <xdr:from>
      <xdr:col>16</xdr:col>
      <xdr:colOff>683812</xdr:colOff>
      <xdr:row>16</xdr:row>
      <xdr:rowOff>123111</xdr:rowOff>
    </xdr:from>
    <xdr:to>
      <xdr:col>21</xdr:col>
      <xdr:colOff>440615</xdr:colOff>
      <xdr:row>25</xdr:row>
      <xdr:rowOff>60428</xdr:rowOff>
    </xdr:to>
    <xdr:pic>
      <xdr:nvPicPr>
        <xdr:cNvPr id="8" name="Image 7">
          <a:extLst>
            <a:ext uri="{FF2B5EF4-FFF2-40B4-BE49-F238E27FC236}">
              <a16:creationId xmlns:a16="http://schemas.microsoft.com/office/drawing/2014/main" id="{952713A4-2164-C0EA-894F-7F793DFEF1A2}"/>
            </a:ext>
          </a:extLst>
        </xdr:cNvPr>
        <xdr:cNvPicPr>
          <a:picLocks noChangeAspect="1"/>
        </xdr:cNvPicPr>
      </xdr:nvPicPr>
      <xdr:blipFill>
        <a:blip xmlns:r="http://schemas.openxmlformats.org/officeDocument/2006/relationships" r:embed="rId7"/>
        <a:stretch>
          <a:fillRect/>
        </a:stretch>
      </xdr:blipFill>
      <xdr:spPr>
        <a:xfrm>
          <a:off x="14892871" y="3182317"/>
          <a:ext cx="3744416" cy="1382876"/>
        </a:xfrm>
        <a:prstGeom prst="rect">
          <a:avLst/>
        </a:prstGeom>
      </xdr:spPr>
    </xdr:pic>
    <xdr:clientData/>
  </xdr:twoCellAnchor>
  <xdr:twoCellAnchor editAs="oneCell">
    <xdr:from>
      <xdr:col>17</xdr:col>
      <xdr:colOff>119345</xdr:colOff>
      <xdr:row>6</xdr:row>
      <xdr:rowOff>104479</xdr:rowOff>
    </xdr:from>
    <xdr:to>
      <xdr:col>20</xdr:col>
      <xdr:colOff>440840</xdr:colOff>
      <xdr:row>13</xdr:row>
      <xdr:rowOff>55507</xdr:rowOff>
    </xdr:to>
    <xdr:pic>
      <xdr:nvPicPr>
        <xdr:cNvPr id="10" name="Image 9">
          <a:extLst>
            <a:ext uri="{FF2B5EF4-FFF2-40B4-BE49-F238E27FC236}">
              <a16:creationId xmlns:a16="http://schemas.microsoft.com/office/drawing/2014/main" id="{00B081DA-0803-51A2-8F6C-A10DAEAEEE09}"/>
            </a:ext>
          </a:extLst>
        </xdr:cNvPr>
        <xdr:cNvPicPr>
          <a:picLocks noChangeAspect="1"/>
        </xdr:cNvPicPr>
      </xdr:nvPicPr>
      <xdr:blipFill>
        <a:blip xmlns:r="http://schemas.openxmlformats.org/officeDocument/2006/relationships" r:embed="rId8"/>
        <a:stretch>
          <a:fillRect/>
        </a:stretch>
      </xdr:blipFill>
      <xdr:spPr>
        <a:xfrm>
          <a:off x="15124021" y="1303508"/>
          <a:ext cx="2704538" cy="1271642"/>
        </a:xfrm>
        <a:prstGeom prst="rect">
          <a:avLst/>
        </a:prstGeom>
      </xdr:spPr>
    </xdr:pic>
    <xdr:clientData/>
  </xdr:twoCellAnchor>
  <xdr:twoCellAnchor editAs="oneCell">
    <xdr:from>
      <xdr:col>8</xdr:col>
      <xdr:colOff>232557</xdr:colOff>
      <xdr:row>54</xdr:row>
      <xdr:rowOff>170210</xdr:rowOff>
    </xdr:from>
    <xdr:to>
      <xdr:col>14</xdr:col>
      <xdr:colOff>439251</xdr:colOff>
      <xdr:row>70</xdr:row>
      <xdr:rowOff>16533</xdr:rowOff>
    </xdr:to>
    <xdr:pic>
      <xdr:nvPicPr>
        <xdr:cNvPr id="11" name="Image 10">
          <a:extLst>
            <a:ext uri="{FF2B5EF4-FFF2-40B4-BE49-F238E27FC236}">
              <a16:creationId xmlns:a16="http://schemas.microsoft.com/office/drawing/2014/main" id="{A543A4B0-D1A2-72DF-27D3-1B57608A2FA0}"/>
            </a:ext>
          </a:extLst>
        </xdr:cNvPr>
        <xdr:cNvPicPr>
          <a:picLocks noChangeAspect="1"/>
        </xdr:cNvPicPr>
      </xdr:nvPicPr>
      <xdr:blipFill>
        <a:blip xmlns:r="http://schemas.openxmlformats.org/officeDocument/2006/relationships" r:embed="rId9"/>
        <a:stretch>
          <a:fillRect/>
        </a:stretch>
      </xdr:blipFill>
      <xdr:spPr>
        <a:xfrm>
          <a:off x="8081157" y="10849096"/>
          <a:ext cx="4959397" cy="31063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66A67-D443-4308-9192-B8970839D9B1}">
  <sheetPr codeName="Feuil3"/>
  <dimension ref="A1:C36"/>
  <sheetViews>
    <sheetView workbookViewId="0">
      <selection activeCell="C6" sqref="C6"/>
    </sheetView>
  </sheetViews>
  <sheetFormatPr defaultColWidth="11.42578125" defaultRowHeight="14.45"/>
  <cols>
    <col min="1" max="1" width="47" customWidth="1"/>
    <col min="2" max="2" width="42.140625" customWidth="1"/>
    <col min="3" max="3" width="112.7109375" customWidth="1"/>
  </cols>
  <sheetData>
    <row r="1" spans="1:3">
      <c r="A1" s="74" t="s">
        <v>0</v>
      </c>
      <c r="B1" s="74"/>
      <c r="C1" s="74"/>
    </row>
    <row r="2" spans="1:3">
      <c r="A2" s="74"/>
      <c r="B2" s="74"/>
      <c r="C2" s="74"/>
    </row>
    <row r="3" spans="1:3" ht="15" thickBot="1"/>
    <row r="4" spans="1:3" ht="15" thickBot="1">
      <c r="A4" s="64" t="s">
        <v>1</v>
      </c>
      <c r="B4" s="65" t="s">
        <v>2</v>
      </c>
      <c r="C4" s="66" t="s">
        <v>3</v>
      </c>
    </row>
    <row r="5" spans="1:3">
      <c r="A5" s="67">
        <v>45505</v>
      </c>
      <c r="B5" s="68" t="s">
        <v>4</v>
      </c>
      <c r="C5" s="69" t="s">
        <v>5</v>
      </c>
    </row>
    <row r="6" spans="1:3">
      <c r="A6" s="67"/>
      <c r="B6" s="68"/>
      <c r="C6" s="69"/>
    </row>
    <row r="7" spans="1:3">
      <c r="A7" s="70"/>
      <c r="B7" s="68"/>
      <c r="C7" s="69"/>
    </row>
    <row r="8" spans="1:3">
      <c r="A8" s="70"/>
      <c r="B8" s="68"/>
      <c r="C8" s="69"/>
    </row>
    <row r="9" spans="1:3">
      <c r="A9" s="70"/>
      <c r="B9" s="68"/>
      <c r="C9" s="69"/>
    </row>
    <row r="10" spans="1:3">
      <c r="A10" s="70"/>
      <c r="B10" s="68"/>
      <c r="C10" s="69"/>
    </row>
    <row r="11" spans="1:3">
      <c r="A11" s="70"/>
      <c r="B11" s="68"/>
      <c r="C11" s="69"/>
    </row>
    <row r="12" spans="1:3">
      <c r="A12" s="70"/>
      <c r="B12" s="68"/>
      <c r="C12" s="69"/>
    </row>
    <row r="13" spans="1:3">
      <c r="A13" s="70"/>
      <c r="B13" s="68"/>
      <c r="C13" s="69"/>
    </row>
    <row r="14" spans="1:3">
      <c r="A14" s="70"/>
      <c r="B14" s="68"/>
      <c r="C14" s="69"/>
    </row>
    <row r="15" spans="1:3">
      <c r="A15" s="70"/>
      <c r="B15" s="68"/>
      <c r="C15" s="69"/>
    </row>
    <row r="16" spans="1:3">
      <c r="A16" s="70"/>
      <c r="B16" s="68"/>
      <c r="C16" s="69"/>
    </row>
    <row r="17" spans="1:3">
      <c r="A17" s="70"/>
      <c r="B17" s="68"/>
      <c r="C17" s="69"/>
    </row>
    <row r="18" spans="1:3">
      <c r="A18" s="70"/>
      <c r="B18" s="68"/>
      <c r="C18" s="69"/>
    </row>
    <row r="19" spans="1:3">
      <c r="A19" s="70"/>
      <c r="B19" s="68"/>
      <c r="C19" s="69"/>
    </row>
    <row r="20" spans="1:3">
      <c r="A20" s="70"/>
      <c r="B20" s="68"/>
      <c r="C20" s="69"/>
    </row>
    <row r="21" spans="1:3">
      <c r="A21" s="70"/>
      <c r="B21" s="68"/>
      <c r="C21" s="69"/>
    </row>
    <row r="22" spans="1:3">
      <c r="A22" s="70"/>
      <c r="B22" s="68"/>
      <c r="C22" s="69"/>
    </row>
    <row r="23" spans="1:3">
      <c r="A23" s="70"/>
      <c r="B23" s="68"/>
      <c r="C23" s="69"/>
    </row>
    <row r="24" spans="1:3">
      <c r="A24" s="70"/>
      <c r="B24" s="68"/>
      <c r="C24" s="69"/>
    </row>
    <row r="25" spans="1:3">
      <c r="A25" s="70"/>
      <c r="B25" s="68"/>
      <c r="C25" s="69"/>
    </row>
    <row r="26" spans="1:3">
      <c r="A26" s="70"/>
      <c r="B26" s="68"/>
      <c r="C26" s="69"/>
    </row>
    <row r="27" spans="1:3">
      <c r="A27" s="70"/>
      <c r="B27" s="68"/>
      <c r="C27" s="69"/>
    </row>
    <row r="28" spans="1:3">
      <c r="A28" s="70"/>
      <c r="B28" s="68"/>
      <c r="C28" s="69"/>
    </row>
    <row r="29" spans="1:3">
      <c r="A29" s="70"/>
      <c r="B29" s="68"/>
      <c r="C29" s="69"/>
    </row>
    <row r="30" spans="1:3">
      <c r="A30" s="70"/>
      <c r="B30" s="68"/>
      <c r="C30" s="69"/>
    </row>
    <row r="31" spans="1:3">
      <c r="A31" s="70"/>
      <c r="B31" s="68"/>
      <c r="C31" s="69"/>
    </row>
    <row r="32" spans="1:3">
      <c r="A32" s="70"/>
      <c r="B32" s="68"/>
      <c r="C32" s="69"/>
    </row>
    <row r="33" spans="1:3">
      <c r="A33" s="70"/>
      <c r="B33" s="68"/>
      <c r="C33" s="69"/>
    </row>
    <row r="34" spans="1:3">
      <c r="A34" s="70"/>
      <c r="B34" s="68"/>
      <c r="C34" s="69"/>
    </row>
    <row r="35" spans="1:3">
      <c r="A35" s="70"/>
      <c r="B35" s="68"/>
      <c r="C35" s="69"/>
    </row>
    <row r="36" spans="1:3" ht="15" thickBot="1">
      <c r="A36" s="71"/>
      <c r="B36" s="72"/>
      <c r="C36" s="73"/>
    </row>
  </sheetData>
  <mergeCells count="1">
    <mergeCell ref="A1: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A853A-1F49-4D28-9CE5-5D8150567641}">
  <sheetPr codeName="Feuil1"/>
  <dimension ref="A1:M50"/>
  <sheetViews>
    <sheetView zoomScale="85" zoomScaleNormal="85" workbookViewId="0">
      <selection activeCell="A24" sqref="A24"/>
    </sheetView>
  </sheetViews>
  <sheetFormatPr defaultColWidth="11.42578125" defaultRowHeight="14.45"/>
  <cols>
    <col min="1" max="1" width="20.7109375" customWidth="1"/>
    <col min="2" max="2" width="34" customWidth="1"/>
  </cols>
  <sheetData>
    <row r="1" spans="1:13" ht="15" thickBot="1">
      <c r="A1" s="49" t="s">
        <v>6</v>
      </c>
      <c r="B1" s="1"/>
      <c r="C1" s="1"/>
      <c r="D1" s="1"/>
    </row>
    <row r="2" spans="1:13" ht="15" thickBot="1">
      <c r="A2" s="50"/>
      <c r="B2" s="50"/>
      <c r="C2" s="1"/>
      <c r="D2" s="1"/>
      <c r="G2" s="80" t="s">
        <v>7</v>
      </c>
      <c r="H2" s="81"/>
      <c r="I2" s="81"/>
      <c r="J2" s="82"/>
    </row>
    <row r="3" spans="1:13">
      <c r="A3" s="1" t="s">
        <v>8</v>
      </c>
      <c r="B3" s="1"/>
      <c r="C3" s="1"/>
      <c r="D3" s="1"/>
      <c r="F3" s="17"/>
      <c r="G3" s="83" t="s">
        <v>9</v>
      </c>
      <c r="H3" s="84"/>
      <c r="I3" s="84"/>
      <c r="J3" s="85"/>
    </row>
    <row r="4" spans="1:13">
      <c r="A4" s="51" t="s">
        <v>10</v>
      </c>
      <c r="B4" s="52" t="s">
        <v>11</v>
      </c>
      <c r="C4" s="1"/>
      <c r="D4" s="1"/>
      <c r="F4" s="17"/>
      <c r="G4" s="86" t="s">
        <v>12</v>
      </c>
      <c r="H4" s="87"/>
      <c r="I4" s="87"/>
      <c r="J4" s="88"/>
    </row>
    <row r="5" spans="1:13" ht="15" thickBot="1">
      <c r="A5" s="51" t="s">
        <v>13</v>
      </c>
      <c r="B5" s="53" t="s">
        <v>6</v>
      </c>
      <c r="C5" s="54"/>
      <c r="D5" s="54"/>
      <c r="F5" s="17"/>
      <c r="G5" s="77" t="s">
        <v>14</v>
      </c>
      <c r="H5" s="78"/>
      <c r="I5" s="78"/>
      <c r="J5" s="79"/>
    </row>
    <row r="6" spans="1:13">
      <c r="A6" s="51" t="s">
        <v>15</v>
      </c>
      <c r="B6" s="55" t="s">
        <v>16</v>
      </c>
      <c r="C6" s="56"/>
      <c r="D6" s="56"/>
      <c r="F6" s="17"/>
      <c r="G6" s="4"/>
      <c r="H6" s="4"/>
      <c r="I6" s="4"/>
      <c r="J6" s="4"/>
    </row>
    <row r="7" spans="1:13">
      <c r="A7" s="51"/>
      <c r="B7" s="50"/>
      <c r="C7" s="56"/>
      <c r="D7" s="56"/>
      <c r="F7" s="17"/>
    </row>
    <row r="8" spans="1:13">
      <c r="A8" s="51"/>
      <c r="B8" s="50"/>
      <c r="C8" s="56"/>
      <c r="D8" s="56"/>
      <c r="F8" s="17"/>
    </row>
    <row r="9" spans="1:13">
      <c r="A9" s="51"/>
      <c r="B9" s="50"/>
      <c r="C9" s="50"/>
      <c r="D9" s="50"/>
      <c r="E9" s="50"/>
      <c r="F9" s="50"/>
      <c r="G9" s="50"/>
    </row>
    <row r="10" spans="1:13">
      <c r="F10" s="50"/>
      <c r="G10" s="50"/>
    </row>
    <row r="11" spans="1:13">
      <c r="F11" s="50"/>
      <c r="G11" s="50"/>
    </row>
    <row r="12" spans="1:13">
      <c r="A12" s="57" t="s">
        <v>17</v>
      </c>
      <c r="B12" s="50"/>
      <c r="C12" s="50"/>
      <c r="D12" s="50"/>
      <c r="F12" s="50"/>
      <c r="G12" s="50"/>
    </row>
    <row r="13" spans="1:13" ht="14.45" customHeight="1">
      <c r="A13" s="76" t="s">
        <v>18</v>
      </c>
      <c r="B13" s="76"/>
      <c r="C13" s="76"/>
      <c r="D13" s="76"/>
      <c r="E13" s="76"/>
      <c r="F13" s="76"/>
      <c r="G13" s="76"/>
      <c r="H13" s="76"/>
      <c r="I13" s="76"/>
      <c r="J13" s="76"/>
      <c r="K13" s="76"/>
      <c r="L13" s="76"/>
      <c r="M13" s="76"/>
    </row>
    <row r="14" spans="1:13">
      <c r="A14" s="76"/>
      <c r="B14" s="76"/>
      <c r="C14" s="76"/>
      <c r="D14" s="76"/>
      <c r="E14" s="76"/>
      <c r="F14" s="76"/>
      <c r="G14" s="76"/>
      <c r="H14" s="76"/>
      <c r="I14" s="76"/>
      <c r="J14" s="76"/>
      <c r="K14" s="76"/>
      <c r="L14" s="76"/>
      <c r="M14" s="76"/>
    </row>
    <row r="15" spans="1:13">
      <c r="A15" s="76"/>
      <c r="B15" s="76"/>
      <c r="C15" s="76"/>
      <c r="D15" s="76"/>
      <c r="E15" s="76"/>
      <c r="F15" s="76"/>
      <c r="G15" s="76"/>
      <c r="H15" s="76"/>
      <c r="I15" s="76"/>
      <c r="J15" s="76"/>
      <c r="K15" s="76"/>
      <c r="L15" s="76"/>
      <c r="M15" s="76"/>
    </row>
    <row r="16" spans="1:13">
      <c r="A16" s="76"/>
      <c r="B16" s="76"/>
      <c r="C16" s="76"/>
      <c r="D16" s="76"/>
      <c r="E16" s="76"/>
      <c r="F16" s="76"/>
      <c r="G16" s="76"/>
      <c r="H16" s="76"/>
      <c r="I16" s="76"/>
      <c r="J16" s="76"/>
      <c r="K16" s="76"/>
      <c r="L16" s="76"/>
      <c r="M16" s="76"/>
    </row>
    <row r="17" spans="1:13">
      <c r="A17" s="76"/>
      <c r="B17" s="76"/>
      <c r="C17" s="76"/>
      <c r="D17" s="76"/>
      <c r="E17" s="76"/>
      <c r="F17" s="76"/>
      <c r="G17" s="76"/>
      <c r="H17" s="76"/>
      <c r="I17" s="76"/>
      <c r="J17" s="76"/>
      <c r="K17" s="76"/>
      <c r="L17" s="76"/>
      <c r="M17" s="76"/>
    </row>
    <row r="18" spans="1:13">
      <c r="A18" s="76"/>
      <c r="B18" s="76"/>
      <c r="C18" s="76"/>
      <c r="D18" s="76"/>
      <c r="E18" s="76"/>
      <c r="F18" s="76"/>
      <c r="G18" s="76"/>
      <c r="H18" s="76"/>
      <c r="I18" s="76"/>
      <c r="J18" s="76"/>
      <c r="K18" s="76"/>
      <c r="L18" s="76"/>
      <c r="M18" s="76"/>
    </row>
    <row r="19" spans="1:13">
      <c r="A19" s="76"/>
      <c r="B19" s="76"/>
      <c r="C19" s="76"/>
      <c r="D19" s="76"/>
      <c r="E19" s="76"/>
      <c r="F19" s="76"/>
      <c r="G19" s="76"/>
      <c r="H19" s="76"/>
      <c r="I19" s="76"/>
      <c r="J19" s="76"/>
      <c r="K19" s="76"/>
      <c r="L19" s="76"/>
      <c r="M19" s="76"/>
    </row>
    <row r="20" spans="1:13">
      <c r="A20" s="76"/>
      <c r="B20" s="76"/>
      <c r="C20" s="76"/>
      <c r="D20" s="76"/>
      <c r="E20" s="76"/>
      <c r="F20" s="76"/>
      <c r="G20" s="76"/>
      <c r="H20" s="76"/>
      <c r="I20" s="76"/>
      <c r="J20" s="76"/>
      <c r="K20" s="76"/>
      <c r="L20" s="76"/>
      <c r="M20" s="76"/>
    </row>
    <row r="21" spans="1:13">
      <c r="A21" s="76"/>
      <c r="B21" s="76"/>
      <c r="C21" s="76"/>
      <c r="D21" s="76"/>
      <c r="E21" s="76"/>
      <c r="F21" s="76"/>
      <c r="G21" s="76"/>
      <c r="H21" s="76"/>
      <c r="I21" s="76"/>
      <c r="J21" s="76"/>
      <c r="K21" s="76"/>
      <c r="L21" s="76"/>
      <c r="M21" s="76"/>
    </row>
    <row r="22" spans="1:13">
      <c r="A22" s="76"/>
      <c r="B22" s="76"/>
      <c r="C22" s="76"/>
      <c r="D22" s="76"/>
      <c r="E22" s="76"/>
      <c r="F22" s="76"/>
      <c r="G22" s="76"/>
      <c r="H22" s="76"/>
      <c r="I22" s="76"/>
      <c r="J22" s="76"/>
      <c r="K22" s="76"/>
      <c r="L22" s="76"/>
      <c r="M22" s="76"/>
    </row>
    <row r="23" spans="1:13">
      <c r="A23" s="76"/>
      <c r="B23" s="76"/>
      <c r="C23" s="76"/>
      <c r="D23" s="76"/>
      <c r="E23" s="76"/>
      <c r="F23" s="76"/>
      <c r="G23" s="76"/>
      <c r="H23" s="76"/>
      <c r="I23" s="76"/>
      <c r="J23" s="76"/>
      <c r="K23" s="76"/>
      <c r="L23" s="76"/>
      <c r="M23" s="76"/>
    </row>
    <row r="24" spans="1:13">
      <c r="A24" s="59"/>
      <c r="B24" s="59"/>
      <c r="C24" s="59"/>
      <c r="D24" s="59"/>
      <c r="E24" s="59"/>
      <c r="K24" s="50"/>
    </row>
    <row r="25" spans="1:13">
      <c r="A25" s="63" t="s">
        <v>19</v>
      </c>
      <c r="B25" s="59"/>
      <c r="C25" s="59"/>
      <c r="D25" s="59"/>
      <c r="E25" s="59"/>
      <c r="K25" s="58"/>
    </row>
    <row r="26" spans="1:13">
      <c r="A26" s="75" t="s">
        <v>20</v>
      </c>
      <c r="B26" s="75"/>
      <c r="C26" s="75"/>
      <c r="D26" s="75"/>
      <c r="E26" s="75"/>
      <c r="F26" s="75"/>
    </row>
    <row r="27" spans="1:13">
      <c r="A27" s="75"/>
      <c r="B27" s="75"/>
      <c r="C27" s="75"/>
      <c r="D27" s="75"/>
      <c r="E27" s="75"/>
      <c r="F27" s="75"/>
    </row>
    <row r="28" spans="1:13">
      <c r="A28" s="75"/>
      <c r="B28" s="75"/>
      <c r="C28" s="75"/>
      <c r="D28" s="75"/>
      <c r="E28" s="75"/>
      <c r="F28" s="75"/>
      <c r="G28" s="59"/>
      <c r="H28" s="59"/>
      <c r="I28" s="59"/>
      <c r="J28" s="59"/>
    </row>
    <row r="29" spans="1:13">
      <c r="A29" s="75"/>
      <c r="B29" s="75"/>
      <c r="C29" s="75"/>
      <c r="D29" s="75"/>
      <c r="E29" s="75"/>
      <c r="F29" s="75"/>
      <c r="G29" s="59"/>
      <c r="H29" s="59"/>
      <c r="I29" s="59"/>
      <c r="J29" s="59"/>
    </row>
    <row r="30" spans="1:13">
      <c r="A30" s="75"/>
      <c r="B30" s="75"/>
      <c r="C30" s="75"/>
      <c r="D30" s="75"/>
      <c r="E30" s="75"/>
      <c r="F30" s="75"/>
      <c r="G30" s="59"/>
      <c r="H30" s="59"/>
      <c r="I30" s="59"/>
      <c r="J30" s="59"/>
    </row>
    <row r="31" spans="1:13">
      <c r="A31" s="75"/>
      <c r="B31" s="75"/>
      <c r="C31" s="75"/>
      <c r="D31" s="75"/>
      <c r="E31" s="75"/>
      <c r="F31" s="75"/>
      <c r="G31" s="59"/>
      <c r="H31" s="59"/>
      <c r="I31" s="59"/>
      <c r="J31" s="59"/>
    </row>
    <row r="32" spans="1:13">
      <c r="B32" s="62"/>
      <c r="C32" s="62"/>
      <c r="D32" s="62"/>
      <c r="E32" s="62"/>
      <c r="F32" s="62"/>
      <c r="G32" s="62"/>
      <c r="H32" s="62"/>
      <c r="I32" s="59"/>
      <c r="J32" s="59"/>
    </row>
    <row r="33" spans="1:10" ht="14.45" customHeight="1">
      <c r="B33" s="61"/>
      <c r="C33" s="61"/>
      <c r="D33" s="61"/>
      <c r="E33" s="61"/>
      <c r="F33" s="61"/>
      <c r="G33" s="61"/>
      <c r="H33" s="61"/>
      <c r="I33" s="59"/>
      <c r="J33" s="59"/>
    </row>
    <row r="34" spans="1:10">
      <c r="A34" s="61"/>
      <c r="B34" s="61"/>
      <c r="C34" s="61"/>
      <c r="D34" s="61"/>
      <c r="E34" s="61"/>
      <c r="F34" s="61"/>
      <c r="G34" s="61"/>
      <c r="H34" s="61"/>
      <c r="I34" s="59"/>
      <c r="J34" s="59"/>
    </row>
    <row r="35" spans="1:10">
      <c r="A35" s="61"/>
      <c r="B35" s="61"/>
      <c r="C35" s="61"/>
      <c r="D35" s="61"/>
      <c r="E35" s="61"/>
      <c r="F35" s="61"/>
      <c r="G35" s="61"/>
      <c r="H35" s="61"/>
      <c r="I35" s="59"/>
      <c r="J35" s="59"/>
    </row>
    <row r="36" spans="1:10">
      <c r="A36" s="61"/>
      <c r="B36" s="61"/>
      <c r="C36" s="61"/>
      <c r="D36" s="61"/>
      <c r="E36" s="61"/>
      <c r="F36" s="61"/>
      <c r="G36" s="61"/>
      <c r="H36" s="61"/>
      <c r="I36" s="59"/>
      <c r="J36" s="59"/>
    </row>
    <row r="37" spans="1:10">
      <c r="A37" s="61"/>
      <c r="B37" s="61"/>
      <c r="C37" s="61"/>
      <c r="D37" s="61"/>
      <c r="E37" s="61"/>
      <c r="F37" s="61"/>
      <c r="G37" s="61"/>
      <c r="H37" s="61"/>
      <c r="I37" s="59"/>
      <c r="J37" s="59"/>
    </row>
    <row r="38" spans="1:10">
      <c r="A38" s="61"/>
      <c r="B38" s="61"/>
      <c r="C38" s="61"/>
      <c r="D38" s="61"/>
      <c r="E38" s="61"/>
      <c r="F38" s="61"/>
      <c r="G38" s="61"/>
      <c r="H38" s="61"/>
      <c r="I38" s="59"/>
      <c r="J38" s="59"/>
    </row>
    <row r="39" spans="1:10">
      <c r="A39" s="61"/>
      <c r="B39" s="61"/>
      <c r="C39" s="61"/>
      <c r="D39" s="61"/>
      <c r="E39" s="61"/>
      <c r="F39" s="61"/>
      <c r="G39" s="61"/>
      <c r="H39" s="61"/>
      <c r="I39" s="59"/>
      <c r="J39" s="59"/>
    </row>
    <row r="40" spans="1:10">
      <c r="A40" s="61"/>
      <c r="B40" s="61"/>
      <c r="C40" s="61"/>
      <c r="D40" s="61"/>
      <c r="E40" s="61"/>
      <c r="F40" s="61"/>
      <c r="G40" s="61"/>
      <c r="H40" s="61"/>
      <c r="I40" s="59"/>
      <c r="J40" s="59"/>
    </row>
    <row r="41" spans="1:10">
      <c r="A41" s="60"/>
      <c r="B41" s="61"/>
      <c r="C41" s="61"/>
      <c r="D41" s="61"/>
      <c r="E41" s="61"/>
      <c r="F41" s="61"/>
      <c r="G41" s="61"/>
      <c r="H41" s="61"/>
      <c r="I41" s="59"/>
      <c r="J41" s="59"/>
    </row>
    <row r="42" spans="1:10">
      <c r="A42" s="60"/>
      <c r="B42" s="61"/>
      <c r="C42" s="61"/>
      <c r="D42" s="61"/>
      <c r="E42" s="61"/>
      <c r="F42" s="61"/>
      <c r="G42" s="61"/>
      <c r="H42" s="61"/>
    </row>
    <row r="43" spans="1:10">
      <c r="A43" s="60"/>
      <c r="B43" s="61"/>
      <c r="C43" s="61"/>
      <c r="D43" s="61"/>
      <c r="E43" s="61"/>
      <c r="F43" s="61"/>
      <c r="G43" s="61"/>
      <c r="H43" s="61"/>
    </row>
    <row r="44" spans="1:10">
      <c r="A44" s="60"/>
      <c r="B44" s="61"/>
      <c r="C44" s="61"/>
      <c r="D44" s="61"/>
      <c r="E44" s="61"/>
      <c r="F44" s="61"/>
      <c r="G44" s="61"/>
      <c r="H44" s="61"/>
    </row>
    <row r="45" spans="1:10">
      <c r="A45" s="61"/>
      <c r="B45" s="61"/>
      <c r="C45" s="61"/>
      <c r="D45" s="61"/>
      <c r="E45" s="61"/>
      <c r="F45" s="61"/>
      <c r="G45" s="61"/>
      <c r="H45" s="61"/>
    </row>
    <row r="46" spans="1:10">
      <c r="A46" s="61"/>
      <c r="B46" s="61"/>
      <c r="C46" s="61"/>
      <c r="D46" s="61"/>
      <c r="E46" s="61"/>
      <c r="F46" s="61"/>
      <c r="G46" s="61"/>
      <c r="H46" s="61"/>
    </row>
    <row r="47" spans="1:10">
      <c r="A47" s="61"/>
      <c r="B47" s="61"/>
      <c r="C47" s="61"/>
      <c r="D47" s="61"/>
      <c r="E47" s="61"/>
      <c r="F47" s="61"/>
      <c r="G47" s="61"/>
      <c r="H47" s="61"/>
    </row>
    <row r="48" spans="1:10">
      <c r="A48" s="61"/>
      <c r="B48" s="61"/>
      <c r="C48" s="61"/>
      <c r="D48" s="61"/>
      <c r="E48" s="61"/>
      <c r="F48" s="61"/>
      <c r="G48" s="61"/>
      <c r="H48" s="61"/>
    </row>
    <row r="49" spans="1:8">
      <c r="A49" s="61"/>
      <c r="B49" s="61"/>
      <c r="C49" s="61"/>
      <c r="D49" s="61"/>
      <c r="E49" s="61"/>
      <c r="F49" s="61"/>
      <c r="G49" s="61"/>
      <c r="H49" s="61"/>
    </row>
    <row r="50" spans="1:8">
      <c r="A50" s="61"/>
      <c r="B50" s="61"/>
      <c r="C50" s="61"/>
      <c r="D50" s="61"/>
      <c r="E50" s="61"/>
      <c r="F50" s="61"/>
      <c r="G50" s="61"/>
      <c r="H50" s="61"/>
    </row>
  </sheetData>
  <mergeCells count="6">
    <mergeCell ref="A26:F31"/>
    <mergeCell ref="A13:M23"/>
    <mergeCell ref="G5:J5"/>
    <mergeCell ref="G2:J2"/>
    <mergeCell ref="G3:J3"/>
    <mergeCell ref="G4:J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6318-13F3-4F09-94F2-B5D2448CBD11}">
  <sheetPr codeName="Feuil2"/>
  <dimension ref="B1:AL162"/>
  <sheetViews>
    <sheetView tabSelected="1" zoomScaleNormal="100" workbookViewId="0">
      <selection activeCell="G2" sqref="G2"/>
    </sheetView>
  </sheetViews>
  <sheetFormatPr defaultColWidth="11.42578125" defaultRowHeight="14.45"/>
  <cols>
    <col min="2" max="2" width="11.42578125" customWidth="1"/>
    <col min="3" max="3" width="12.28515625" customWidth="1"/>
    <col min="5" max="5" width="31.5703125" customWidth="1"/>
    <col min="8" max="8" width="12.7109375" style="16" customWidth="1"/>
  </cols>
  <sheetData>
    <row r="1" spans="2:38">
      <c r="I1" s="38"/>
      <c r="J1" s="39"/>
      <c r="K1" s="39"/>
      <c r="L1" s="39"/>
      <c r="M1" s="39"/>
      <c r="N1" s="39"/>
      <c r="O1" s="39"/>
      <c r="P1" s="39"/>
      <c r="Q1" s="39"/>
      <c r="R1" s="39"/>
      <c r="S1" s="39"/>
      <c r="T1" s="39"/>
      <c r="U1" s="39"/>
      <c r="V1" s="39"/>
      <c r="W1" s="39"/>
      <c r="X1" s="39"/>
      <c r="Y1" s="39"/>
      <c r="Z1" s="39"/>
      <c r="AA1" s="39"/>
      <c r="AH1" t="s">
        <v>21</v>
      </c>
      <c r="AI1" t="s">
        <v>22</v>
      </c>
      <c r="AJ1" t="s">
        <v>23</v>
      </c>
      <c r="AK1" t="s">
        <v>24</v>
      </c>
      <c r="AL1" t="s">
        <v>25</v>
      </c>
    </row>
    <row r="2" spans="2:38">
      <c r="I2" s="41"/>
      <c r="AH2" t="s">
        <v>26</v>
      </c>
      <c r="AI2" t="s">
        <v>27</v>
      </c>
      <c r="AJ2" t="s">
        <v>28</v>
      </c>
      <c r="AK2" t="s">
        <v>29</v>
      </c>
      <c r="AL2" t="s">
        <v>30</v>
      </c>
    </row>
    <row r="3" spans="2:38" ht="23.45">
      <c r="B3" s="127" t="s">
        <v>31</v>
      </c>
      <c r="C3" s="127"/>
      <c r="D3" s="127"/>
      <c r="E3" s="127"/>
      <c r="F3" s="127"/>
      <c r="G3" s="127"/>
      <c r="H3" s="127"/>
      <c r="I3" s="41"/>
      <c r="AI3" t="s">
        <v>32</v>
      </c>
    </row>
    <row r="4" spans="2:38">
      <c r="F4" s="4"/>
      <c r="G4" s="4"/>
      <c r="H4" s="17"/>
      <c r="I4" s="41"/>
    </row>
    <row r="5" spans="2:38">
      <c r="B5" s="5" t="s">
        <v>33</v>
      </c>
      <c r="C5" s="4"/>
      <c r="D5" s="11"/>
      <c r="F5" s="4"/>
      <c r="G5" s="4"/>
      <c r="H5" s="17"/>
      <c r="I5" s="41"/>
      <c r="L5" s="121" t="s">
        <v>34</v>
      </c>
      <c r="M5" s="121"/>
      <c r="N5" s="121"/>
      <c r="O5" s="121"/>
    </row>
    <row r="6" spans="2:38" ht="15" thickBot="1">
      <c r="B6" s="6" t="s">
        <v>35</v>
      </c>
      <c r="C6" s="4"/>
      <c r="F6" s="4"/>
      <c r="G6" s="4"/>
      <c r="H6" s="17"/>
      <c r="I6" s="43"/>
      <c r="J6" s="44"/>
      <c r="K6" s="44"/>
      <c r="L6" s="122"/>
      <c r="M6" s="122"/>
      <c r="N6" s="122"/>
      <c r="O6" s="122"/>
      <c r="P6" s="44"/>
      <c r="Q6" s="44"/>
      <c r="R6" s="44"/>
      <c r="S6" s="44"/>
      <c r="T6" s="44"/>
      <c r="U6" s="44"/>
      <c r="V6" s="44"/>
      <c r="W6" s="44"/>
      <c r="X6" s="44"/>
      <c r="Y6" s="44"/>
      <c r="Z6" s="44"/>
      <c r="AA6" s="44"/>
    </row>
    <row r="7" spans="2:38" ht="15.6">
      <c r="B7" s="7" t="s">
        <v>36</v>
      </c>
      <c r="C7" s="7" t="s">
        <v>37</v>
      </c>
      <c r="D7" s="8"/>
      <c r="E7" s="8"/>
      <c r="F7" s="9"/>
      <c r="G7" s="9"/>
      <c r="H7" s="21"/>
      <c r="I7" s="38"/>
      <c r="J7" s="39"/>
      <c r="K7" s="39"/>
      <c r="L7" s="39"/>
      <c r="M7" s="39"/>
      <c r="N7" s="39"/>
      <c r="O7" s="39"/>
      <c r="P7" s="39"/>
      <c r="Q7" s="39"/>
      <c r="R7" s="39"/>
      <c r="S7" s="39"/>
      <c r="T7" s="39"/>
      <c r="U7" s="39"/>
      <c r="V7" s="39"/>
      <c r="W7" s="39"/>
      <c r="X7" s="39"/>
      <c r="Y7" s="39"/>
      <c r="Z7" s="39"/>
      <c r="AA7" s="40"/>
    </row>
    <row r="8" spans="2:38" ht="15.6">
      <c r="B8" s="10"/>
      <c r="C8" s="10"/>
      <c r="D8" s="10"/>
      <c r="E8" s="10"/>
      <c r="F8" s="10"/>
      <c r="G8" s="10"/>
      <c r="H8" s="22"/>
      <c r="I8" s="41"/>
      <c r="AA8" s="42"/>
    </row>
    <row r="9" spans="2:38">
      <c r="I9" s="41"/>
      <c r="AA9" s="42"/>
    </row>
    <row r="10" spans="2:38" ht="15" thickBot="1">
      <c r="B10" s="18" t="s">
        <v>38</v>
      </c>
      <c r="C10" s="19"/>
      <c r="D10" s="19"/>
      <c r="E10" s="19"/>
      <c r="F10" s="19"/>
      <c r="G10" s="19"/>
      <c r="H10" s="23"/>
      <c r="I10" s="41"/>
      <c r="AA10" s="42"/>
    </row>
    <row r="11" spans="2:38">
      <c r="B11" s="109" t="s">
        <v>39</v>
      </c>
      <c r="C11" s="110"/>
      <c r="D11" s="110"/>
      <c r="E11" s="110"/>
      <c r="F11" s="101">
        <v>1</v>
      </c>
      <c r="G11" s="101"/>
      <c r="H11" s="129"/>
      <c r="I11" s="41"/>
      <c r="AA11" s="42"/>
    </row>
    <row r="12" spans="2:38">
      <c r="B12" s="111" t="s">
        <v>40</v>
      </c>
      <c r="C12" s="112"/>
      <c r="D12" s="112"/>
      <c r="E12" s="112"/>
      <c r="F12" s="108">
        <v>1</v>
      </c>
      <c r="G12" s="108"/>
      <c r="H12" s="130"/>
      <c r="I12" s="41"/>
      <c r="AA12" s="42"/>
    </row>
    <row r="13" spans="2:38">
      <c r="B13" s="111" t="s">
        <v>41</v>
      </c>
      <c r="C13" s="112"/>
      <c r="D13" s="112"/>
      <c r="E13" s="112"/>
      <c r="F13" s="108">
        <v>1</v>
      </c>
      <c r="G13" s="108"/>
      <c r="H13" s="130"/>
      <c r="I13" s="41"/>
      <c r="AA13" s="42"/>
    </row>
    <row r="14" spans="2:38">
      <c r="B14" s="111" t="s">
        <v>42</v>
      </c>
      <c r="C14" s="112"/>
      <c r="D14" s="112"/>
      <c r="E14" s="112"/>
      <c r="F14" s="108">
        <v>2</v>
      </c>
      <c r="G14" s="108"/>
      <c r="H14" s="130"/>
      <c r="I14" s="41"/>
      <c r="AA14" s="42"/>
    </row>
    <row r="15" spans="2:38">
      <c r="B15" s="111" t="s">
        <v>43</v>
      </c>
      <c r="C15" s="112"/>
      <c r="D15" s="112"/>
      <c r="E15" s="112"/>
      <c r="F15" s="108">
        <v>1</v>
      </c>
      <c r="G15" s="108"/>
      <c r="H15" s="130"/>
      <c r="I15" s="41"/>
      <c r="AA15" s="42"/>
    </row>
    <row r="16" spans="2:38" ht="15" thickBot="1">
      <c r="B16" s="99" t="s">
        <v>44</v>
      </c>
      <c r="C16" s="100"/>
      <c r="D16" s="100"/>
      <c r="E16" s="100"/>
      <c r="F16" s="102">
        <v>2</v>
      </c>
      <c r="G16" s="102"/>
      <c r="H16" s="131"/>
      <c r="I16" s="41"/>
      <c r="AA16" s="42"/>
    </row>
    <row r="17" spans="2:27">
      <c r="I17" s="41"/>
      <c r="AA17" s="42"/>
    </row>
    <row r="18" spans="2:27" ht="15" thickBot="1">
      <c r="B18" s="18" t="s">
        <v>45</v>
      </c>
      <c r="C18" s="19"/>
      <c r="D18" s="19"/>
      <c r="E18" s="19"/>
      <c r="F18" s="19"/>
      <c r="G18" s="19"/>
      <c r="H18" s="23"/>
      <c r="I18" s="41"/>
      <c r="AA18" s="42"/>
    </row>
    <row r="19" spans="2:27" ht="14.45" customHeight="1">
      <c r="B19" s="29" t="s">
        <v>46</v>
      </c>
      <c r="C19" s="90" t="s">
        <v>47</v>
      </c>
      <c r="D19" s="90"/>
      <c r="E19" s="90"/>
      <c r="F19" s="101">
        <v>1.6739999999999999</v>
      </c>
      <c r="G19" s="101"/>
      <c r="H19" s="24" t="s">
        <v>48</v>
      </c>
      <c r="I19" s="41"/>
      <c r="AA19" s="42"/>
    </row>
    <row r="20" spans="2:27" ht="14.45" customHeight="1">
      <c r="B20" s="30" t="s">
        <v>49</v>
      </c>
      <c r="C20" s="94" t="s">
        <v>50</v>
      </c>
      <c r="D20" s="94"/>
      <c r="E20" s="94"/>
      <c r="F20" s="108">
        <v>0.48</v>
      </c>
      <c r="G20" s="108"/>
      <c r="H20" s="25" t="s">
        <v>48</v>
      </c>
      <c r="I20" s="46"/>
      <c r="AA20" s="42"/>
    </row>
    <row r="21" spans="2:27" ht="14.45" customHeight="1">
      <c r="B21" s="30" t="s">
        <v>51</v>
      </c>
      <c r="C21" s="94" t="s">
        <v>52</v>
      </c>
      <c r="D21" s="94"/>
      <c r="E21" s="94"/>
      <c r="F21" s="108">
        <v>0.1</v>
      </c>
      <c r="G21" s="108"/>
      <c r="H21" s="25" t="s">
        <v>48</v>
      </c>
      <c r="I21" s="41"/>
      <c r="AA21" s="42"/>
    </row>
    <row r="22" spans="2:27" ht="14.45" customHeight="1">
      <c r="B22" s="30" t="s">
        <v>53</v>
      </c>
      <c r="C22" s="94" t="s">
        <v>54</v>
      </c>
      <c r="D22" s="94"/>
      <c r="E22" s="94"/>
      <c r="F22" s="108">
        <v>0.09</v>
      </c>
      <c r="G22" s="108"/>
      <c r="H22" s="25" t="s">
        <v>48</v>
      </c>
      <c r="I22" s="41"/>
      <c r="AA22" s="42"/>
    </row>
    <row r="23" spans="2:27" ht="14.45" customHeight="1">
      <c r="B23" s="30" t="s">
        <v>55</v>
      </c>
      <c r="C23" s="94" t="s">
        <v>56</v>
      </c>
      <c r="D23" s="94"/>
      <c r="E23" s="94"/>
      <c r="F23" s="120">
        <f>(F21+F22)/2</f>
        <v>9.5000000000000001E-2</v>
      </c>
      <c r="G23" s="120"/>
      <c r="H23" s="25" t="s">
        <v>48</v>
      </c>
      <c r="I23" s="41"/>
      <c r="AA23" s="42"/>
    </row>
    <row r="24" spans="2:27" ht="14.45" hidden="1" customHeight="1">
      <c r="B24" s="30" t="s">
        <v>57</v>
      </c>
      <c r="C24" s="94" t="s">
        <v>58</v>
      </c>
      <c r="D24" s="94"/>
      <c r="E24" s="94"/>
      <c r="F24" s="108">
        <v>0.3</v>
      </c>
      <c r="G24" s="108"/>
      <c r="H24" s="25" t="s">
        <v>48</v>
      </c>
      <c r="I24" s="46"/>
      <c r="AA24" s="42"/>
    </row>
    <row r="25" spans="2:27" ht="14.45" customHeight="1">
      <c r="B25" s="30" t="s">
        <v>59</v>
      </c>
      <c r="C25" s="107" t="s">
        <v>60</v>
      </c>
      <c r="D25" s="128"/>
      <c r="E25" s="128"/>
      <c r="F25" s="108">
        <v>1</v>
      </c>
      <c r="G25" s="108"/>
      <c r="H25" s="25" t="s">
        <v>61</v>
      </c>
      <c r="I25" s="125" t="s">
        <v>62</v>
      </c>
      <c r="J25" s="126"/>
      <c r="K25" s="126"/>
      <c r="L25" s="126"/>
      <c r="AA25" s="42"/>
    </row>
    <row r="26" spans="2:27" ht="14.45" customHeight="1">
      <c r="B26" s="30" t="s">
        <v>63</v>
      </c>
      <c r="C26" s="128"/>
      <c r="D26" s="128"/>
      <c r="E26" s="128"/>
      <c r="F26" s="108">
        <v>1</v>
      </c>
      <c r="G26" s="108"/>
      <c r="H26" s="25" t="s">
        <v>61</v>
      </c>
      <c r="I26" s="125"/>
      <c r="J26" s="126"/>
      <c r="K26" s="126"/>
      <c r="L26" s="126"/>
      <c r="AA26" s="42"/>
    </row>
    <row r="27" spans="2:27" ht="14.45" hidden="1" customHeight="1">
      <c r="B27" s="30" t="s">
        <v>64</v>
      </c>
      <c r="C27" s="94" t="str">
        <f>IF(AND(F11=2,F15=1),"Dimension du poteau","Dimension du poteau parallèle à l’excentricité de la charge")</f>
        <v>Dimension du poteau parallèle à l’excentricité de la charge</v>
      </c>
      <c r="D27" s="94"/>
      <c r="E27" s="94"/>
      <c r="F27" s="108">
        <v>4</v>
      </c>
      <c r="G27" s="108"/>
      <c r="H27" s="25" t="s">
        <v>48</v>
      </c>
      <c r="I27" s="41"/>
      <c r="AA27" s="42"/>
    </row>
    <row r="28" spans="2:27" ht="14.45" hidden="1" customHeight="1">
      <c r="B28" s="30" t="s">
        <v>65</v>
      </c>
      <c r="C28" s="94" t="str">
        <f>IF(AND(F11=2,F15=1),"Dimension du poteau","Dimension du poteau perpendiculaire à l’excentricité de la charge")</f>
        <v>Dimension du poteau perpendiculaire à l’excentricité de la charge</v>
      </c>
      <c r="D28" s="94"/>
      <c r="E28" s="94"/>
      <c r="F28" s="108">
        <v>1</v>
      </c>
      <c r="G28" s="108"/>
      <c r="H28" s="25" t="s">
        <v>48</v>
      </c>
      <c r="I28" s="41"/>
      <c r="AA28" s="42"/>
    </row>
    <row r="29" spans="2:27" ht="14.45" hidden="1" customHeight="1">
      <c r="B29" s="30" t="s">
        <v>66</v>
      </c>
      <c r="C29" s="94" t="s">
        <v>67</v>
      </c>
      <c r="D29" s="94"/>
      <c r="E29" s="94"/>
      <c r="F29" s="108">
        <v>0.3</v>
      </c>
      <c r="G29" s="108"/>
      <c r="H29" s="25" t="s">
        <v>48</v>
      </c>
      <c r="I29" s="41"/>
      <c r="AA29" s="42"/>
    </row>
    <row r="30" spans="2:27" ht="14.45" hidden="1" customHeight="1">
      <c r="B30" s="30" t="s">
        <v>68</v>
      </c>
      <c r="C30" s="94" t="s">
        <v>69</v>
      </c>
      <c r="D30" s="94"/>
      <c r="E30" s="94"/>
      <c r="F30" s="108">
        <v>0.2</v>
      </c>
      <c r="G30" s="108"/>
      <c r="H30" s="25" t="s">
        <v>48</v>
      </c>
      <c r="I30" s="41"/>
      <c r="AA30" s="42"/>
    </row>
    <row r="31" spans="2:27" ht="14.45" hidden="1" customHeight="1">
      <c r="B31" s="30" t="s">
        <v>70</v>
      </c>
      <c r="C31" s="107" t="s">
        <v>71</v>
      </c>
      <c r="D31" s="107"/>
      <c r="E31" s="107"/>
      <c r="F31" s="108">
        <v>1</v>
      </c>
      <c r="G31" s="108"/>
      <c r="H31" s="25" t="s">
        <v>48</v>
      </c>
      <c r="I31" s="41"/>
      <c r="AA31" s="42"/>
    </row>
    <row r="32" spans="2:27" ht="14.45" hidden="1" customHeight="1">
      <c r="B32" s="30" t="s">
        <v>72</v>
      </c>
      <c r="C32" s="107"/>
      <c r="D32" s="107"/>
      <c r="E32" s="107"/>
      <c r="F32" s="108">
        <v>1</v>
      </c>
      <c r="G32" s="108"/>
      <c r="H32" s="25" t="s">
        <v>48</v>
      </c>
      <c r="I32" s="41"/>
      <c r="AA32" s="42"/>
    </row>
    <row r="33" spans="2:27" ht="14.45" hidden="1" customHeight="1">
      <c r="B33" s="30" t="s">
        <v>73</v>
      </c>
      <c r="C33" s="107" t="s">
        <v>74</v>
      </c>
      <c r="D33" s="107"/>
      <c r="E33" s="107"/>
      <c r="F33" s="108">
        <v>1</v>
      </c>
      <c r="G33" s="108"/>
      <c r="H33" s="25" t="s">
        <v>48</v>
      </c>
      <c r="I33" s="41"/>
      <c r="AA33" s="42"/>
    </row>
    <row r="34" spans="2:27" ht="14.45" hidden="1" customHeight="1">
      <c r="B34" s="30" t="s">
        <v>75</v>
      </c>
      <c r="C34" s="107"/>
      <c r="D34" s="107"/>
      <c r="E34" s="107"/>
      <c r="F34" s="108">
        <v>1</v>
      </c>
      <c r="G34" s="108"/>
      <c r="H34" s="25" t="s">
        <v>48</v>
      </c>
      <c r="I34" s="41"/>
      <c r="AA34" s="42"/>
    </row>
    <row r="35" spans="2:27" ht="14.45" hidden="1" customHeight="1">
      <c r="B35" s="30" t="s">
        <v>76</v>
      </c>
      <c r="C35" s="94" t="s">
        <v>77</v>
      </c>
      <c r="D35" s="94"/>
      <c r="E35" s="94"/>
      <c r="F35" s="108">
        <v>0.2</v>
      </c>
      <c r="G35" s="108"/>
      <c r="H35" s="25" t="s">
        <v>48</v>
      </c>
      <c r="I35" s="41"/>
      <c r="AA35" s="42"/>
    </row>
    <row r="36" spans="2:27" ht="14.45" hidden="1" customHeight="1">
      <c r="B36" s="30" t="s">
        <v>78</v>
      </c>
      <c r="C36" s="94" t="s">
        <v>79</v>
      </c>
      <c r="D36" s="94"/>
      <c r="E36" s="94"/>
      <c r="F36" s="108">
        <v>0.4</v>
      </c>
      <c r="G36" s="108"/>
      <c r="H36" s="25" t="s">
        <v>48</v>
      </c>
      <c r="I36" s="41"/>
      <c r="AA36" s="42"/>
    </row>
    <row r="37" spans="2:27" ht="14.45" customHeight="1">
      <c r="B37" s="31" t="s">
        <v>80</v>
      </c>
      <c r="C37" s="107" t="s">
        <v>81</v>
      </c>
      <c r="D37" s="107"/>
      <c r="E37" s="107"/>
      <c r="F37" s="108">
        <v>0.56499999999999995</v>
      </c>
      <c r="G37" s="108"/>
      <c r="H37" s="25" t="s">
        <v>82</v>
      </c>
      <c r="I37" s="123" t="s">
        <v>83</v>
      </c>
      <c r="J37" s="124"/>
      <c r="K37" s="124"/>
      <c r="L37" s="124"/>
      <c r="M37" s="124"/>
      <c r="N37" s="124"/>
      <c r="AA37" s="42"/>
    </row>
    <row r="38" spans="2:27" ht="14.45" customHeight="1">
      <c r="B38" s="31" t="s">
        <v>84</v>
      </c>
      <c r="C38" s="107"/>
      <c r="D38" s="107"/>
      <c r="E38" s="107"/>
      <c r="F38" s="108">
        <v>0.27800000000000002</v>
      </c>
      <c r="G38" s="108"/>
      <c r="H38" s="25" t="s">
        <v>82</v>
      </c>
      <c r="I38" s="123"/>
      <c r="J38" s="124"/>
      <c r="K38" s="124"/>
      <c r="L38" s="124"/>
      <c r="M38" s="124"/>
      <c r="N38" s="124"/>
      <c r="AA38" s="42"/>
    </row>
    <row r="39" spans="2:27" ht="14.45" customHeight="1" thickBot="1">
      <c r="B39" s="32" t="s">
        <v>57</v>
      </c>
      <c r="C39" s="106" t="s">
        <v>85</v>
      </c>
      <c r="D39" s="106"/>
      <c r="E39" s="106"/>
      <c r="F39" s="102">
        <v>90</v>
      </c>
      <c r="G39" s="102"/>
      <c r="H39" s="26" t="s">
        <v>86</v>
      </c>
      <c r="I39" s="41"/>
      <c r="AA39" s="42"/>
    </row>
    <row r="40" spans="2:27">
      <c r="B40" s="1"/>
      <c r="I40" s="41"/>
      <c r="AA40" s="42"/>
    </row>
    <row r="41" spans="2:27" ht="15" thickBot="1">
      <c r="B41" s="18" t="s">
        <v>87</v>
      </c>
      <c r="C41" s="19"/>
      <c r="D41" s="19"/>
      <c r="E41" s="19"/>
      <c r="F41" s="19"/>
      <c r="G41" s="19"/>
      <c r="H41" s="23"/>
      <c r="I41" s="41"/>
      <c r="AA41" s="42"/>
    </row>
    <row r="42" spans="2:27" ht="15.6">
      <c r="B42" s="33" t="s">
        <v>88</v>
      </c>
      <c r="C42" s="90" t="s">
        <v>89</v>
      </c>
      <c r="D42" s="90"/>
      <c r="E42" s="90"/>
      <c r="F42" s="101">
        <v>25</v>
      </c>
      <c r="G42" s="101"/>
      <c r="H42" s="28" t="s">
        <v>90</v>
      </c>
      <c r="I42" s="41"/>
      <c r="AA42" s="42"/>
    </row>
    <row r="43" spans="2:27" ht="16.149999999999999" thickBot="1">
      <c r="B43" s="32" t="s">
        <v>91</v>
      </c>
      <c r="C43" s="106" t="s">
        <v>92</v>
      </c>
      <c r="D43" s="106"/>
      <c r="E43" s="106"/>
      <c r="F43" s="102">
        <v>1.5</v>
      </c>
      <c r="G43" s="102"/>
      <c r="H43" s="26"/>
      <c r="I43" s="41"/>
      <c r="AA43" s="42"/>
    </row>
    <row r="44" spans="2:27">
      <c r="I44" s="41"/>
      <c r="AA44" s="42"/>
    </row>
    <row r="45" spans="2:27" ht="15" thickBot="1">
      <c r="B45" s="20" t="s">
        <v>93</v>
      </c>
      <c r="C45" s="19"/>
      <c r="D45" s="19"/>
      <c r="E45" s="19"/>
      <c r="F45" s="19"/>
      <c r="G45" s="19"/>
      <c r="H45" s="23"/>
      <c r="I45" s="41"/>
      <c r="AA45" s="42"/>
    </row>
    <row r="46" spans="2:27" ht="15.6">
      <c r="B46" s="33" t="s">
        <v>94</v>
      </c>
      <c r="C46" s="103" t="s">
        <v>95</v>
      </c>
      <c r="D46" s="104"/>
      <c r="E46" s="105"/>
      <c r="F46" s="101">
        <v>500</v>
      </c>
      <c r="G46" s="101"/>
      <c r="H46" s="28" t="s">
        <v>90</v>
      </c>
      <c r="I46" s="41"/>
      <c r="AA46" s="42"/>
    </row>
    <row r="47" spans="2:27" ht="16.149999999999999" thickBot="1">
      <c r="B47" s="32" t="s">
        <v>96</v>
      </c>
      <c r="C47" s="91" t="s">
        <v>92</v>
      </c>
      <c r="D47" s="92"/>
      <c r="E47" s="93"/>
      <c r="F47" s="102">
        <v>1.1499999999999999</v>
      </c>
      <c r="G47" s="102"/>
      <c r="H47" s="26"/>
      <c r="I47" s="41"/>
      <c r="AA47" s="42"/>
    </row>
    <row r="48" spans="2:27">
      <c r="I48" s="41"/>
      <c r="AA48" s="42"/>
    </row>
    <row r="49" spans="2:27" ht="15" thickBot="1">
      <c r="B49" s="18" t="s">
        <v>97</v>
      </c>
      <c r="C49" s="19"/>
      <c r="D49" s="19"/>
      <c r="E49" s="19"/>
      <c r="F49" s="19"/>
      <c r="G49" s="19"/>
      <c r="H49" s="23"/>
      <c r="I49" s="41"/>
      <c r="AA49" s="42"/>
    </row>
    <row r="50" spans="2:27" ht="15.6">
      <c r="B50" s="29" t="s">
        <v>98</v>
      </c>
      <c r="C50" s="113" t="s">
        <v>99</v>
      </c>
      <c r="D50" s="113"/>
      <c r="E50" s="113"/>
      <c r="F50" s="101">
        <v>0</v>
      </c>
      <c r="G50" s="101"/>
      <c r="H50" s="24" t="s">
        <v>100</v>
      </c>
      <c r="I50" s="46"/>
      <c r="AA50" s="42"/>
    </row>
    <row r="51" spans="2:27" ht="15.6">
      <c r="B51" s="30" t="s">
        <v>101</v>
      </c>
      <c r="C51" s="107"/>
      <c r="D51" s="107"/>
      <c r="E51" s="107"/>
      <c r="F51" s="108">
        <v>0</v>
      </c>
      <c r="G51" s="108"/>
      <c r="H51" s="25" t="s">
        <v>100</v>
      </c>
      <c r="I51" s="46"/>
      <c r="AA51" s="42"/>
    </row>
    <row r="52" spans="2:27" ht="15.6">
      <c r="B52" s="30" t="s">
        <v>102</v>
      </c>
      <c r="C52" s="94" t="s">
        <v>103</v>
      </c>
      <c r="D52" s="94"/>
      <c r="E52" s="94"/>
      <c r="F52" s="108">
        <v>0.1125</v>
      </c>
      <c r="G52" s="108"/>
      <c r="H52" s="25" t="s">
        <v>100</v>
      </c>
      <c r="I52" s="41"/>
      <c r="AA52" s="42"/>
    </row>
    <row r="53" spans="2:27" s="4" customFormat="1" ht="42.6" hidden="1" customHeight="1">
      <c r="B53" s="31" t="s">
        <v>104</v>
      </c>
      <c r="C53" s="107" t="s">
        <v>105</v>
      </c>
      <c r="D53" s="107"/>
      <c r="E53" s="107"/>
      <c r="F53" s="118">
        <v>0.3</v>
      </c>
      <c r="G53" s="118"/>
      <c r="H53" s="27" t="s">
        <v>100</v>
      </c>
      <c r="I53" s="47"/>
      <c r="AA53" s="48"/>
    </row>
    <row r="54" spans="2:27" ht="16.149999999999999" hidden="1" thickBot="1">
      <c r="B54" s="34" t="s">
        <v>106</v>
      </c>
      <c r="C54" s="106" t="s">
        <v>107</v>
      </c>
      <c r="D54" s="106"/>
      <c r="E54" s="106"/>
      <c r="F54" s="102">
        <v>0.4</v>
      </c>
      <c r="G54" s="102"/>
      <c r="H54" s="26" t="s">
        <v>100</v>
      </c>
      <c r="I54" s="46"/>
      <c r="AA54" s="42"/>
    </row>
    <row r="55" spans="2:27">
      <c r="B55" s="1"/>
      <c r="I55" s="41"/>
      <c r="AA55" s="42"/>
    </row>
    <row r="56" spans="2:27" ht="15" thickBot="1">
      <c r="B56" s="18" t="s">
        <v>108</v>
      </c>
      <c r="C56" s="19"/>
      <c r="D56" s="19"/>
      <c r="E56" s="19"/>
      <c r="F56" s="19"/>
      <c r="G56" s="19"/>
      <c r="H56" s="23"/>
      <c r="I56" s="41"/>
      <c r="AA56" s="42"/>
    </row>
    <row r="57" spans="2:27" ht="15.6">
      <c r="B57" s="35" t="s">
        <v>109</v>
      </c>
      <c r="C57" s="90" t="s">
        <v>110</v>
      </c>
      <c r="D57" s="90"/>
      <c r="E57" s="90"/>
      <c r="F57" s="119">
        <f>0.5*C94*F42/F43</f>
        <v>4.5</v>
      </c>
      <c r="G57" s="119"/>
      <c r="H57" s="24" t="s">
        <v>90</v>
      </c>
      <c r="I57" s="41"/>
      <c r="AA57" s="42"/>
    </row>
    <row r="58" spans="2:27" ht="15.6">
      <c r="B58" s="30" t="s">
        <v>111</v>
      </c>
      <c r="C58" s="94" t="s">
        <v>112</v>
      </c>
      <c r="D58" s="94"/>
      <c r="E58" s="94"/>
      <c r="F58" s="96">
        <f>C154*F52/C153/F23</f>
        <v>2.4671052631578951</v>
      </c>
      <c r="G58" s="96"/>
      <c r="H58" s="25" t="s">
        <v>90</v>
      </c>
      <c r="I58" s="41"/>
      <c r="AA58" s="42"/>
    </row>
    <row r="59" spans="2:27" ht="31.15" customHeight="1">
      <c r="B59" s="116" t="s">
        <v>113</v>
      </c>
      <c r="C59" s="117"/>
      <c r="D59" s="117"/>
      <c r="E59" s="114" t="str">
        <f>IF(F58&lt;=F57,"OK","augmenter l'épaisseur de la dalle et/ou la résistance du béton et/ou l'aire de chargement")</f>
        <v>OK</v>
      </c>
      <c r="F59" s="114"/>
      <c r="G59" s="114"/>
      <c r="H59" s="115"/>
      <c r="I59" s="41"/>
      <c r="AA59" s="42"/>
    </row>
    <row r="60" spans="2:27">
      <c r="B60" s="36" t="str">
        <f>IF(F11=1,"VRd,c","VRd")</f>
        <v>VRd,c</v>
      </c>
      <c r="C60" s="94" t="s">
        <v>114</v>
      </c>
      <c r="D60" s="94"/>
      <c r="E60" s="94"/>
      <c r="F60" s="96">
        <f>IF(F11=1,C90,C91)</f>
        <v>0.5154740242588528</v>
      </c>
      <c r="G60" s="96"/>
      <c r="H60" s="25" t="s">
        <v>90</v>
      </c>
      <c r="I60" s="41"/>
      <c r="AA60" s="42"/>
    </row>
    <row r="61" spans="2:27" ht="15.6">
      <c r="B61" s="30" t="s">
        <v>115</v>
      </c>
      <c r="C61" s="94" t="s">
        <v>116</v>
      </c>
      <c r="D61" s="94"/>
      <c r="E61" s="94"/>
      <c r="F61" s="96">
        <f>C161</f>
        <v>0.70741369552914557</v>
      </c>
      <c r="G61" s="96"/>
      <c r="H61" s="25" t="s">
        <v>90</v>
      </c>
      <c r="I61" s="41"/>
      <c r="AA61" s="42"/>
    </row>
    <row r="62" spans="2:27" ht="15" thickBot="1">
      <c r="B62" s="99" t="str">
        <f>IF(F11=1,"vEd ≤ VRd,c ?","vEd ≤ VRd ?")</f>
        <v>vEd ≤ VRd,c ?</v>
      </c>
      <c r="C62" s="100"/>
      <c r="D62" s="100"/>
      <c r="E62" s="97" t="str">
        <f>IF(F61&lt;=F60,"Pas besoin d'armatures de poinçonnement","Armatures de poinçonnement nécessaires")</f>
        <v>Armatures de poinçonnement nécessaires</v>
      </c>
      <c r="F62" s="97"/>
      <c r="G62" s="97"/>
      <c r="H62" s="98"/>
      <c r="I62" s="41"/>
      <c r="AA62" s="42"/>
    </row>
    <row r="63" spans="2:27">
      <c r="B63" s="16"/>
      <c r="C63" s="16"/>
      <c r="D63" s="16"/>
      <c r="E63" s="16"/>
      <c r="F63" s="16"/>
      <c r="G63" s="16"/>
      <c r="I63" s="41"/>
      <c r="AA63" s="42"/>
    </row>
    <row r="64" spans="2:27" ht="15" thickBot="1">
      <c r="B64" s="18" t="s">
        <v>117</v>
      </c>
      <c r="C64" s="19"/>
      <c r="D64" s="19"/>
      <c r="E64" s="19"/>
      <c r="F64" s="19"/>
      <c r="G64" s="19"/>
      <c r="H64" s="23"/>
      <c r="I64" s="41"/>
      <c r="AA64" s="42"/>
    </row>
    <row r="65" spans="2:27" ht="15.6">
      <c r="B65" s="29" t="s">
        <v>118</v>
      </c>
      <c r="C65" s="90" t="s">
        <v>119</v>
      </c>
      <c r="D65" s="90"/>
      <c r="E65" s="90"/>
      <c r="F65" s="95">
        <f>F19*(C161-0.75*C90)/1.5/C99/SIN(F39*PI()/180)*100</f>
        <v>0.13078426517109282</v>
      </c>
      <c r="G65" s="95"/>
      <c r="H65" s="24" t="s">
        <v>120</v>
      </c>
      <c r="I65" s="41"/>
      <c r="AA65" s="42"/>
    </row>
    <row r="66" spans="2:27" ht="16.149999999999999" thickBot="1">
      <c r="B66" s="37" t="s">
        <v>121</v>
      </c>
      <c r="C66" s="91" t="s">
        <v>122</v>
      </c>
      <c r="D66" s="92"/>
      <c r="E66" s="93"/>
      <c r="F66" s="89">
        <f>C160*F52/C90/F23</f>
        <v>2.2973233772903385</v>
      </c>
      <c r="G66" s="89"/>
      <c r="H66" s="26" t="s">
        <v>48</v>
      </c>
      <c r="I66" s="41"/>
      <c r="AA66" s="42"/>
    </row>
    <row r="67" spans="2:27">
      <c r="I67" s="41"/>
      <c r="AA67" s="42"/>
    </row>
    <row r="68" spans="2:27">
      <c r="I68" s="41"/>
      <c r="AA68" s="42"/>
    </row>
    <row r="69" spans="2:27">
      <c r="I69" s="41"/>
      <c r="AA69" s="42"/>
    </row>
    <row r="70" spans="2:27">
      <c r="I70" s="41"/>
      <c r="AA70" s="42"/>
    </row>
    <row r="71" spans="2:27">
      <c r="I71" s="41"/>
      <c r="AA71" s="42"/>
    </row>
    <row r="72" spans="2:27" ht="15" thickBot="1">
      <c r="I72" s="43"/>
      <c r="J72" s="44"/>
      <c r="K72" s="44"/>
      <c r="L72" s="44"/>
      <c r="M72" s="44"/>
      <c r="N72" s="44"/>
      <c r="O72" s="44"/>
      <c r="P72" s="44"/>
      <c r="Q72" s="44"/>
      <c r="R72" s="44"/>
      <c r="S72" s="44"/>
      <c r="T72" s="44"/>
      <c r="U72" s="44"/>
      <c r="V72" s="44"/>
      <c r="W72" s="44"/>
      <c r="X72" s="44"/>
      <c r="Y72" s="44"/>
      <c r="Z72" s="44"/>
      <c r="AA72" s="45"/>
    </row>
    <row r="80" spans="2:27" hidden="1"/>
    <row r="81" spans="2:3" hidden="1">
      <c r="B81" t="s">
        <v>123</v>
      </c>
      <c r="C81">
        <f>0.18/F43</f>
        <v>0.12</v>
      </c>
    </row>
    <row r="82" spans="2:3" hidden="1">
      <c r="B82" t="s">
        <v>124</v>
      </c>
      <c r="C82">
        <f>MIN(1+SQRT(200/(F23*1000)),2)</f>
        <v>2</v>
      </c>
    </row>
    <row r="83" spans="2:3" hidden="1">
      <c r="B83" s="1" t="s">
        <v>125</v>
      </c>
      <c r="C83">
        <f>MIN(SQRT(F37*F38/10000),0.02)</f>
        <v>3.9632057731084315E-3</v>
      </c>
    </row>
    <row r="84" spans="2:3" hidden="1">
      <c r="B84" s="1" t="s">
        <v>126</v>
      </c>
      <c r="C84">
        <f>0.035*C82^(3/2)*SQRT(F42)</f>
        <v>0.49497474683058323</v>
      </c>
    </row>
    <row r="85" spans="2:3" hidden="1">
      <c r="B85" s="1" t="s">
        <v>127</v>
      </c>
      <c r="C85">
        <v>0.1</v>
      </c>
    </row>
    <row r="86" spans="2:3" hidden="1">
      <c r="B86" s="2" t="s">
        <v>128</v>
      </c>
      <c r="C86">
        <f>(C87+C88)/2</f>
        <v>0</v>
      </c>
    </row>
    <row r="87" spans="2:3" hidden="1">
      <c r="B87" s="2" t="s">
        <v>129</v>
      </c>
      <c r="C87">
        <f>F50/F25</f>
        <v>0</v>
      </c>
    </row>
    <row r="88" spans="2:3" hidden="1">
      <c r="B88" s="2" t="s">
        <v>130</v>
      </c>
      <c r="C88">
        <f>F51/F26</f>
        <v>0</v>
      </c>
    </row>
    <row r="89" spans="2:3" hidden="1">
      <c r="B89" s="1"/>
    </row>
    <row r="90" spans="2:3" hidden="1">
      <c r="B90" t="s">
        <v>131</v>
      </c>
      <c r="C90">
        <f>MAX(C81*C82*(100*C83*F42)^(1/3)+C85*C86,C84+C85*C86)</f>
        <v>0.5154740242588528</v>
      </c>
    </row>
    <row r="91" spans="2:3" hidden="1">
      <c r="B91" t="s">
        <v>132</v>
      </c>
      <c r="C91">
        <f>MAX(C81*C82*(100*C83*F42)^(1/3)*2*F23/F24,C84*2*F23/F24)</f>
        <v>0.32646688203060681</v>
      </c>
    </row>
    <row r="92" spans="2:3" hidden="1"/>
    <row r="93" spans="2:3" hidden="1"/>
    <row r="94" spans="2:3" hidden="1">
      <c r="B94" s="2" t="s">
        <v>133</v>
      </c>
      <c r="C94">
        <f>0.6*(1-F42/250)</f>
        <v>0.54</v>
      </c>
    </row>
    <row r="95" spans="2:3" hidden="1"/>
    <row r="96" spans="2:3" hidden="1"/>
    <row r="97" spans="2:15" hidden="1">
      <c r="B97" t="s">
        <v>134</v>
      </c>
      <c r="C97">
        <f>10^-4</f>
        <v>1E-4</v>
      </c>
      <c r="D97" t="s">
        <v>61</v>
      </c>
    </row>
    <row r="98" spans="2:15" hidden="1">
      <c r="B98" t="s">
        <v>135</v>
      </c>
      <c r="C98">
        <f>7.69*10^-2</f>
        <v>7.690000000000001E-2</v>
      </c>
      <c r="D98" t="s">
        <v>48</v>
      </c>
    </row>
    <row r="99" spans="2:15" hidden="1">
      <c r="B99" t="s">
        <v>136</v>
      </c>
      <c r="C99">
        <f>MIN(250+0.25*F23*1000,F46/F47)</f>
        <v>273.75</v>
      </c>
      <c r="D99" t="s">
        <v>137</v>
      </c>
    </row>
    <row r="100" spans="2:15" hidden="1">
      <c r="B100" s="15" t="s">
        <v>138</v>
      </c>
      <c r="C100" s="15">
        <f>0.75*F60+1.5*F23/C98*C97*C99/F19/F23*SIN(F39*PI()/180)</f>
        <v>0.7055856208270801</v>
      </c>
      <c r="D100" t="s">
        <v>137</v>
      </c>
    </row>
    <row r="101" spans="2:15" hidden="1"/>
    <row r="102" spans="2:15" hidden="1">
      <c r="B102" s="13" t="s">
        <v>139</v>
      </c>
      <c r="C102" s="14" t="s">
        <v>140</v>
      </c>
      <c r="D102" s="13">
        <v>1</v>
      </c>
      <c r="E102" s="13">
        <v>2</v>
      </c>
      <c r="F102" s="14" t="s">
        <v>141</v>
      </c>
    </row>
    <row r="103" spans="2:15" hidden="1">
      <c r="B103" s="13" t="s">
        <v>124</v>
      </c>
      <c r="C103" s="13">
        <v>0.45</v>
      </c>
      <c r="D103" s="13">
        <v>0.6</v>
      </c>
      <c r="E103" s="13">
        <v>0.7</v>
      </c>
      <c r="F103" s="13">
        <v>0.8</v>
      </c>
    </row>
    <row r="104" spans="2:15" hidden="1"/>
    <row r="105" spans="2:15" hidden="1"/>
    <row r="106" spans="2:15" hidden="1">
      <c r="B106" s="3"/>
    </row>
    <row r="107" spans="2:15" hidden="1"/>
    <row r="108" spans="2:15" hidden="1">
      <c r="B108" s="3" t="s">
        <v>142</v>
      </c>
      <c r="M108" s="3" t="s">
        <v>143</v>
      </c>
    </row>
    <row r="109" spans="2:15" hidden="1">
      <c r="B109" s="3" t="s">
        <v>144</v>
      </c>
      <c r="K109" s="3"/>
      <c r="M109" s="3" t="s">
        <v>145</v>
      </c>
    </row>
    <row r="110" spans="2:15" hidden="1">
      <c r="B110" t="s">
        <v>146</v>
      </c>
      <c r="C110">
        <f>F52/F19/F23</f>
        <v>0.70741369552914557</v>
      </c>
      <c r="D110" t="s">
        <v>137</v>
      </c>
      <c r="M110" t="s">
        <v>147</v>
      </c>
      <c r="N110">
        <f>F52-F53</f>
        <v>-0.1875</v>
      </c>
      <c r="O110" t="s">
        <v>137</v>
      </c>
    </row>
    <row r="111" spans="2:15" hidden="1">
      <c r="B111" s="3" t="s">
        <v>148</v>
      </c>
      <c r="M111" t="s">
        <v>146</v>
      </c>
      <c r="N111">
        <f>N110/F19/F23</f>
        <v>-1.1790228258819091</v>
      </c>
      <c r="O111" t="s">
        <v>137</v>
      </c>
    </row>
    <row r="112" spans="2:15" hidden="1">
      <c r="B112" s="2" t="s">
        <v>149</v>
      </c>
      <c r="C112">
        <f>1+C113*F54/F52*F19/C115</f>
        <v>1.3193130816659338</v>
      </c>
      <c r="M112" s="3" t="s">
        <v>150</v>
      </c>
    </row>
    <row r="113" spans="2:15" hidden="1">
      <c r="B113" t="s">
        <v>124</v>
      </c>
      <c r="C113">
        <f>HLOOKUP(C114,C102:F103,2)</f>
        <v>0.8</v>
      </c>
      <c r="K113" s="3"/>
      <c r="M113" s="3" t="s">
        <v>151</v>
      </c>
    </row>
    <row r="114" spans="2:15" hidden="1">
      <c r="B114" t="s">
        <v>139</v>
      </c>
      <c r="C114" t="str">
        <f>IF(ROUND(F27/F28,2)&lt;=0.5,"≤0,5",IF(ROUND(F27/F28,2)&gt;=3,"≥3",ROUND(F27/F28,2)))</f>
        <v>≥3</v>
      </c>
      <c r="K114" s="2"/>
      <c r="M114" s="2" t="s">
        <v>149</v>
      </c>
      <c r="N114">
        <f>1+C113*F54/N110*F19/C115</f>
        <v>0.80841215100043973</v>
      </c>
    </row>
    <row r="115" spans="2:15" hidden="1">
      <c r="B115" t="s">
        <v>152</v>
      </c>
      <c r="C115">
        <f>F27^2/2+F27*F28+4*F28*F23+16*F23^2+2*PI()*F23*F27</f>
        <v>14.912010416728243</v>
      </c>
      <c r="D115" t="s">
        <v>61</v>
      </c>
      <c r="M115" t="s">
        <v>146</v>
      </c>
      <c r="N115">
        <f>N114*N110/(F19*F23)</f>
        <v>-0.95313637874981094</v>
      </c>
      <c r="O115" t="s">
        <v>137</v>
      </c>
    </row>
    <row r="116" spans="2:15" hidden="1">
      <c r="B116" t="s">
        <v>146</v>
      </c>
      <c r="C116">
        <f>C112*F52/(F19*F23)</f>
        <v>0.93330014266124339</v>
      </c>
      <c r="D116" t="s">
        <v>137</v>
      </c>
    </row>
    <row r="117" spans="2:15" hidden="1">
      <c r="B117" s="3" t="s">
        <v>153</v>
      </c>
      <c r="M117" s="3" t="s">
        <v>154</v>
      </c>
    </row>
    <row r="118" spans="2:15" hidden="1">
      <c r="B118" s="2" t="s">
        <v>149</v>
      </c>
      <c r="C118">
        <f>1+0.6*PI()*F29/(F30+4*F23)</f>
        <v>1.9749770304244185</v>
      </c>
      <c r="M118" t="s">
        <v>146</v>
      </c>
      <c r="N118">
        <f>N110*C118/F19/F23</f>
        <v>-2.3285429994628593</v>
      </c>
    </row>
    <row r="119" spans="2:15" hidden="1">
      <c r="B119" t="s">
        <v>146</v>
      </c>
      <c r="C119">
        <f>F52*C118/F19/F23</f>
        <v>1.3971257996777156</v>
      </c>
    </row>
    <row r="120" spans="2:15" hidden="1">
      <c r="B120" s="3" t="s">
        <v>155</v>
      </c>
    </row>
    <row r="121" spans="2:15" hidden="1">
      <c r="B121" s="2" t="s">
        <v>149</v>
      </c>
      <c r="C121">
        <f>1+1.8*SQRT((F31/F34)^2+(F32/F33)^2)</f>
        <v>3.5455844122715714</v>
      </c>
    </row>
    <row r="122" spans="2:15" hidden="1">
      <c r="B122" t="s">
        <v>146</v>
      </c>
      <c r="C122">
        <f>C121*F52/F19/F23</f>
        <v>2.5081949718955654</v>
      </c>
    </row>
    <row r="123" spans="2:15" hidden="1"/>
    <row r="124" spans="2:15" hidden="1"/>
    <row r="125" spans="2:15" hidden="1"/>
    <row r="126" spans="2:15" hidden="1"/>
    <row r="127" spans="2:15" hidden="1">
      <c r="B127" s="3" t="s">
        <v>156</v>
      </c>
    </row>
    <row r="128" spans="2:15" hidden="1">
      <c r="M128" s="3" t="s">
        <v>157</v>
      </c>
    </row>
    <row r="129" spans="2:14" hidden="1">
      <c r="B129" s="3" t="s">
        <v>157</v>
      </c>
      <c r="M129" t="s">
        <v>146</v>
      </c>
      <c r="N129">
        <f>C130*N110/F19/F23</f>
        <v>-9.9584166494763604</v>
      </c>
    </row>
    <row r="130" spans="2:14" hidden="1">
      <c r="B130" s="2" t="s">
        <v>149</v>
      </c>
      <c r="C130">
        <f>F19/F35+C131*F19*F36/C133</f>
        <v>8.44633066541987</v>
      </c>
    </row>
    <row r="131" spans="2:14" hidden="1">
      <c r="B131" t="s">
        <v>124</v>
      </c>
      <c r="C131">
        <f>HLOOKUP(C132,C102:F103,2)</f>
        <v>0.7</v>
      </c>
    </row>
    <row r="132" spans="2:14" hidden="1">
      <c r="B132" t="s">
        <v>158</v>
      </c>
      <c r="C132">
        <f>IF(ROUND(F27/(2*F28),2)&lt;=0.5,"≤0,5",IF(ROUND(F27/(2*F28),2)&gt;=3,"≥3",ROUND(F27/(2*F28),2)))</f>
        <v>2</v>
      </c>
    </row>
    <row r="133" spans="2:14" hidden="1">
      <c r="B133" t="s">
        <v>152</v>
      </c>
      <c r="C133">
        <f>F28^2/4+F27*F28+4*F27*F23+8*F23^2+PI()*F23*F28</f>
        <v>6.1406513020910296</v>
      </c>
    </row>
    <row r="134" spans="2:14" hidden="1">
      <c r="B134" t="s">
        <v>146</v>
      </c>
      <c r="C134">
        <f>C130*F52/F19/F23</f>
        <v>5.9750499896858171</v>
      </c>
    </row>
    <row r="135" spans="2:14" hidden="1"/>
    <row r="136" spans="2:14" hidden="1">
      <c r="B136" s="3" t="s">
        <v>159</v>
      </c>
      <c r="M136" s="3" t="s">
        <v>159</v>
      </c>
    </row>
    <row r="137" spans="2:14" hidden="1">
      <c r="B137" s="2" t="s">
        <v>149</v>
      </c>
      <c r="C137">
        <f>F19/F35</f>
        <v>8.3699999999999992</v>
      </c>
      <c r="M137" s="12" t="s">
        <v>146</v>
      </c>
      <c r="N137">
        <f>C137*N110/F35/F23</f>
        <v>-82.598684210526315</v>
      </c>
    </row>
    <row r="138" spans="2:14" hidden="1">
      <c r="B138" t="s">
        <v>146</v>
      </c>
      <c r="C138">
        <f>C137*F52/F35/F23</f>
        <v>49.55921052631578</v>
      </c>
    </row>
    <row r="139" spans="2:14" hidden="1"/>
    <row r="140" spans="2:14" hidden="1"/>
    <row r="141" spans="2:14" hidden="1">
      <c r="B141" s="3" t="s">
        <v>160</v>
      </c>
    </row>
    <row r="142" spans="2:14" hidden="1">
      <c r="B142" s="2" t="s">
        <v>149</v>
      </c>
      <c r="C142">
        <f>IF(F12=1,1.15,IF(F12=2,1.4,1.5))</f>
        <v>1.1499999999999999</v>
      </c>
    </row>
    <row r="143" spans="2:14" hidden="1">
      <c r="B143" t="s">
        <v>146</v>
      </c>
      <c r="C143">
        <f>C142*F52/F19/F23</f>
        <v>0.81352574985851722</v>
      </c>
    </row>
    <row r="144" spans="2:14" hidden="1"/>
    <row r="145" spans="2:13" hidden="1">
      <c r="B145" t="s">
        <v>142</v>
      </c>
      <c r="L145" t="s">
        <v>161</v>
      </c>
    </row>
    <row r="146" spans="2:13" hidden="1">
      <c r="B146" s="2" t="s">
        <v>149</v>
      </c>
      <c r="C146">
        <f>IF(F16=1,C121,IF(AND(F15=2,F12=2),C130,IF(AND(F15=2,F12=3),C137,IF(F15=1,1,IF(F13=1,C112,C118)))))</f>
        <v>1</v>
      </c>
      <c r="L146" s="2" t="s">
        <v>149</v>
      </c>
      <c r="M146">
        <f>IF(AND(F15=2,F12=2),C130,IF(AND(F15=2,F12=3),C137,IF(F15=1,1,IF(F13=1,N114,C118))))</f>
        <v>1</v>
      </c>
    </row>
    <row r="147" spans="2:13" hidden="1">
      <c r="B147" t="s">
        <v>146</v>
      </c>
      <c r="C147">
        <f>IF(F16=1,C122,IF(AND(F15=2,F12=2),C134,IF(AND(F15=2,F12=3),C138,IF(F15=1,C110,IF(F13=1,C116,C119)))))</f>
        <v>0.70741369552914557</v>
      </c>
      <c r="L147" t="s">
        <v>146</v>
      </c>
      <c r="M147">
        <f>IF(AND(F15=2,F12=2),N129,IF(AND(F15=2,F12=3),N137,IF(F15=1,N111,IF(F13=1,N115,N118))))</f>
        <v>-1.1790228258819091</v>
      </c>
    </row>
    <row r="148" spans="2:13" hidden="1"/>
    <row r="149" spans="2:13" hidden="1"/>
    <row r="150" spans="2:13" hidden="1"/>
    <row r="151" spans="2:13" hidden="1"/>
    <row r="152" spans="2:13" hidden="1">
      <c r="B152" s="3" t="s">
        <v>162</v>
      </c>
    </row>
    <row r="153" spans="2:13" hidden="1">
      <c r="B153" t="s">
        <v>163</v>
      </c>
      <c r="C153">
        <f>IF(F11=1,F20,IF(F12=1,IF(F13=1,2*(F27+F28),PI()*F30^2/4),IF(F12=2,MIN(F28+3*F23,F28+2*F27),MIN(3*F23,F27+F28))))</f>
        <v>0.48</v>
      </c>
    </row>
    <row r="154" spans="2:13" hidden="1">
      <c r="B154" s="2" t="s">
        <v>149</v>
      </c>
      <c r="C154">
        <f>C160</f>
        <v>1</v>
      </c>
    </row>
    <row r="155" spans="2:13" hidden="1">
      <c r="I155" s="2"/>
    </row>
    <row r="156" spans="2:13" hidden="1"/>
    <row r="157" spans="2:13" hidden="1"/>
    <row r="158" spans="2:13" hidden="1">
      <c r="I158" s="2"/>
    </row>
    <row r="159" spans="2:13" hidden="1"/>
    <row r="160" spans="2:13" hidden="1">
      <c r="B160" s="2" t="s">
        <v>164</v>
      </c>
      <c r="C160">
        <f>IF(F14=1,C142,IF(F11=1,IF(F16=1,C121,IF(AND(F15=2,F12=2),C130,IF(AND(F15=2,F12=3),C137,IF(F15=1,1,IF(F13=1,C112,C118))))),IF(AND(F15=2,F12=2),C130,IF(AND(F15=2,F12=3),C137,IF(F15=1,1,IF(F13=1,N114,C118))))))</f>
        <v>1</v>
      </c>
    </row>
    <row r="161" spans="2:4" hidden="1">
      <c r="B161" t="s">
        <v>165</v>
      </c>
      <c r="C161">
        <f>IF(F14=1,C143,IF(F11=1,IF(F16=1,C122,IF(AND(F15=2,F12=2),C134,IF(AND(F15=2,F12=3),C138,IF(F15=1,C110,IF(F13=1,C116,C119))))),IF(AND(F15=2,F12=2),N129,IF(AND(F15=2,F12=3),N137,IF(F15=1,N111,IF(F13=1,N115,N118))))))</f>
        <v>0.70741369552914557</v>
      </c>
      <c r="D161" t="s">
        <v>137</v>
      </c>
    </row>
    <row r="162" spans="2:4" hidden="1"/>
  </sheetData>
  <mergeCells count="87">
    <mergeCell ref="L5:O6"/>
    <mergeCell ref="I37:N38"/>
    <mergeCell ref="I25:L26"/>
    <mergeCell ref="B3:H3"/>
    <mergeCell ref="F19:G19"/>
    <mergeCell ref="C25:E26"/>
    <mergeCell ref="C31:E32"/>
    <mergeCell ref="C33:E34"/>
    <mergeCell ref="F11:H11"/>
    <mergeCell ref="F12:H12"/>
    <mergeCell ref="F13:H13"/>
    <mergeCell ref="F14:H14"/>
    <mergeCell ref="F15:H15"/>
    <mergeCell ref="F16:H16"/>
    <mergeCell ref="F20:G20"/>
    <mergeCell ref="F21:G21"/>
    <mergeCell ref="F22:G22"/>
    <mergeCell ref="F23:G23"/>
    <mergeCell ref="F24:G24"/>
    <mergeCell ref="C23:E23"/>
    <mergeCell ref="C24:E24"/>
    <mergeCell ref="C50:E51"/>
    <mergeCell ref="C53:E53"/>
    <mergeCell ref="E59:H59"/>
    <mergeCell ref="B59:D59"/>
    <mergeCell ref="C52:E52"/>
    <mergeCell ref="C54:E54"/>
    <mergeCell ref="F50:G50"/>
    <mergeCell ref="F51:G51"/>
    <mergeCell ref="F52:G52"/>
    <mergeCell ref="F53:G53"/>
    <mergeCell ref="F54:G54"/>
    <mergeCell ref="F58:G58"/>
    <mergeCell ref="F57:G57"/>
    <mergeCell ref="C58:E58"/>
    <mergeCell ref="C57:E57"/>
    <mergeCell ref="B16:E16"/>
    <mergeCell ref="C19:E19"/>
    <mergeCell ref="C20:E20"/>
    <mergeCell ref="C21:E21"/>
    <mergeCell ref="C22:E22"/>
    <mergeCell ref="B11:E11"/>
    <mergeCell ref="B12:E12"/>
    <mergeCell ref="B13:E13"/>
    <mergeCell ref="B14:E14"/>
    <mergeCell ref="B15:E15"/>
    <mergeCell ref="F25:G25"/>
    <mergeCell ref="F26:G26"/>
    <mergeCell ref="F27:G27"/>
    <mergeCell ref="F28:G28"/>
    <mergeCell ref="F29:G29"/>
    <mergeCell ref="F30:G30"/>
    <mergeCell ref="F31:G31"/>
    <mergeCell ref="F32:G32"/>
    <mergeCell ref="F33:G33"/>
    <mergeCell ref="F34:G34"/>
    <mergeCell ref="F35:G35"/>
    <mergeCell ref="F36:G36"/>
    <mergeCell ref="F37:G37"/>
    <mergeCell ref="F38:G38"/>
    <mergeCell ref="F39:G39"/>
    <mergeCell ref="C27:E27"/>
    <mergeCell ref="C28:E28"/>
    <mergeCell ref="C29:E29"/>
    <mergeCell ref="C30:E30"/>
    <mergeCell ref="C35:E35"/>
    <mergeCell ref="F46:G46"/>
    <mergeCell ref="F47:G47"/>
    <mergeCell ref="C46:E46"/>
    <mergeCell ref="C47:E47"/>
    <mergeCell ref="C36:E36"/>
    <mergeCell ref="C39:E39"/>
    <mergeCell ref="C42:E42"/>
    <mergeCell ref="C43:E43"/>
    <mergeCell ref="F42:G42"/>
    <mergeCell ref="F43:G43"/>
    <mergeCell ref="C37:E38"/>
    <mergeCell ref="F66:G66"/>
    <mergeCell ref="C65:E65"/>
    <mergeCell ref="C66:E66"/>
    <mergeCell ref="C61:E61"/>
    <mergeCell ref="C60:E60"/>
    <mergeCell ref="F65:G65"/>
    <mergeCell ref="F61:G61"/>
    <mergeCell ref="F60:G60"/>
    <mergeCell ref="E62:H62"/>
    <mergeCell ref="B62:D62"/>
  </mergeCells>
  <phoneticPr fontId="15" type="noConversion"/>
  <conditionalFormatting sqref="E62">
    <cfRule type="expression" dxfId="4" priority="2">
      <formula>$F$61&gt;=$F$60</formula>
    </cfRule>
    <cfRule type="expression" dxfId="3" priority="4">
      <formula>$F$61&lt;=$F$60</formula>
    </cfRule>
  </conditionalFormatting>
  <conditionalFormatting sqref="E59">
    <cfRule type="expression" dxfId="2" priority="5">
      <formula>$F$58&lt;=$F$57</formula>
    </cfRule>
    <cfRule type="expression" dxfId="1" priority="6">
      <formula>$F$58&gt;=$F$57</formula>
    </cfRule>
  </conditionalFormatting>
  <conditionalFormatting sqref="F65:G66">
    <cfRule type="expression" dxfId="0" priority="1">
      <formula>$F$61&lt;=$F$60</formula>
    </cfRule>
  </conditionalFormatting>
  <printOptions horizontalCentered="1" verticalCentered="1"/>
  <pageMargins left="0.23622047244094491" right="0.23622047244094491" top="0.74803149606299213" bottom="0.74803149606299213" header="0.31496062992125984" footer="0.31496062992125984"/>
  <pageSetup paperSize="9" scale="80" orientation="portrait" r:id="rId1"/>
  <cellWatches>
    <cellWatch r="C153"/>
  </cellWatches>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5</xdr:col>
                    <xdr:colOff>243840</xdr:colOff>
                    <xdr:row>10</xdr:row>
                    <xdr:rowOff>15240</xdr:rowOff>
                  </from>
                  <to>
                    <xdr:col>7</xdr:col>
                    <xdr:colOff>731520</xdr:colOff>
                    <xdr:row>10</xdr:row>
                    <xdr:rowOff>160020</xdr:rowOff>
                  </to>
                </anchor>
              </controlPr>
            </control>
          </mc:Choice>
        </mc:AlternateContent>
        <mc:AlternateContent xmlns:mc="http://schemas.openxmlformats.org/markup-compatibility/2006">
          <mc:Choice Requires="x14">
            <control shapeId="1028" r:id="rId5" name="Drop Down 4">
              <controlPr defaultSize="0" autoLine="0" autoPict="0">
                <anchor moveWithCells="1">
                  <from>
                    <xdr:col>5</xdr:col>
                    <xdr:colOff>243840</xdr:colOff>
                    <xdr:row>11</xdr:row>
                    <xdr:rowOff>22860</xdr:rowOff>
                  </from>
                  <to>
                    <xdr:col>7</xdr:col>
                    <xdr:colOff>731520</xdr:colOff>
                    <xdr:row>11</xdr:row>
                    <xdr:rowOff>160020</xdr:rowOff>
                  </to>
                </anchor>
              </controlPr>
            </control>
          </mc:Choice>
        </mc:AlternateContent>
        <mc:AlternateContent xmlns:mc="http://schemas.openxmlformats.org/markup-compatibility/2006">
          <mc:Choice Requires="x14">
            <control shapeId="1029" r:id="rId6" name="Drop Down 5">
              <controlPr defaultSize="0" autoLine="0" autoPict="0">
                <anchor moveWithCells="1">
                  <from>
                    <xdr:col>5</xdr:col>
                    <xdr:colOff>251460</xdr:colOff>
                    <xdr:row>13</xdr:row>
                    <xdr:rowOff>7620</xdr:rowOff>
                  </from>
                  <to>
                    <xdr:col>7</xdr:col>
                    <xdr:colOff>731520</xdr:colOff>
                    <xdr:row>13</xdr:row>
                    <xdr:rowOff>160020</xdr:rowOff>
                  </to>
                </anchor>
              </controlPr>
            </control>
          </mc:Choice>
        </mc:AlternateContent>
        <mc:AlternateContent xmlns:mc="http://schemas.openxmlformats.org/markup-compatibility/2006">
          <mc:Choice Requires="x14">
            <control shapeId="1030" r:id="rId7" name="Drop Down 6">
              <controlPr defaultSize="0" autoLine="0" autoPict="0">
                <anchor moveWithCells="1">
                  <from>
                    <xdr:col>5</xdr:col>
                    <xdr:colOff>243840</xdr:colOff>
                    <xdr:row>14</xdr:row>
                    <xdr:rowOff>7620</xdr:rowOff>
                  </from>
                  <to>
                    <xdr:col>7</xdr:col>
                    <xdr:colOff>731520</xdr:colOff>
                    <xdr:row>14</xdr:row>
                    <xdr:rowOff>160020</xdr:rowOff>
                  </to>
                </anchor>
              </controlPr>
            </control>
          </mc:Choice>
        </mc:AlternateContent>
        <mc:AlternateContent xmlns:mc="http://schemas.openxmlformats.org/markup-compatibility/2006">
          <mc:Choice Requires="x14">
            <control shapeId="1031" r:id="rId8" name="Drop Down 7">
              <controlPr defaultSize="0" autoLine="0" autoPict="0">
                <anchor moveWithCells="1">
                  <from>
                    <xdr:col>5</xdr:col>
                    <xdr:colOff>243840</xdr:colOff>
                    <xdr:row>12</xdr:row>
                    <xdr:rowOff>15240</xdr:rowOff>
                  </from>
                  <to>
                    <xdr:col>7</xdr:col>
                    <xdr:colOff>731520</xdr:colOff>
                    <xdr:row>12</xdr:row>
                    <xdr:rowOff>160020</xdr:rowOff>
                  </to>
                </anchor>
              </controlPr>
            </control>
          </mc:Choice>
        </mc:AlternateContent>
        <mc:AlternateContent xmlns:mc="http://schemas.openxmlformats.org/markup-compatibility/2006">
          <mc:Choice Requires="x14">
            <control shapeId="1032" r:id="rId9" name="Drop Down 8">
              <controlPr defaultSize="0" autoLine="0" autoPict="0">
                <anchor moveWithCells="1">
                  <from>
                    <xdr:col>5</xdr:col>
                    <xdr:colOff>243840</xdr:colOff>
                    <xdr:row>15</xdr:row>
                    <xdr:rowOff>22860</xdr:rowOff>
                  </from>
                  <to>
                    <xdr:col>7</xdr:col>
                    <xdr:colOff>731520</xdr:colOff>
                    <xdr:row>15</xdr:row>
                    <xdr:rowOff>175260</xdr:rowOff>
                  </to>
                </anchor>
              </controlPr>
            </control>
          </mc:Choice>
        </mc:AlternateContent>
        <mc:AlternateContent xmlns:mc="http://schemas.openxmlformats.org/markup-compatibility/2006">
          <mc:Choice Requires="x14">
            <control shapeId="1175" r:id="rId10" name="Button 151">
              <controlPr defaultSize="0" print="0" autoFill="0" autoPict="0" macro="[0]!Affichage">
                <anchor moveWithCells="1" sizeWithCells="1">
                  <from>
                    <xdr:col>8</xdr:col>
                    <xdr:colOff>213360</xdr:colOff>
                    <xdr:row>10</xdr:row>
                    <xdr:rowOff>38100</xdr:rowOff>
                  </from>
                  <to>
                    <xdr:col>10</xdr:col>
                    <xdr:colOff>502920</xdr:colOff>
                    <xdr:row>16</xdr:row>
                    <xdr:rowOff>7620</xdr:rowOff>
                  </to>
                </anchor>
              </controlPr>
            </control>
          </mc:Choice>
        </mc:AlternateContent>
        <mc:AlternateContent xmlns:mc="http://schemas.openxmlformats.org/markup-compatibility/2006">
          <mc:Choice Requires="x14">
            <control shapeId="1205" r:id="rId11" name="Button 181">
              <controlPr defaultSize="0" print="0" autoFill="0" autoPict="0" macro="[0]!Bouton181_Cliquer">
                <anchor moveWithCells="1" sizeWithCells="1">
                  <from>
                    <xdr:col>12</xdr:col>
                    <xdr:colOff>22860</xdr:colOff>
                    <xdr:row>11</xdr:row>
                    <xdr:rowOff>106680</xdr:rowOff>
                  </from>
                  <to>
                    <xdr:col>13</xdr:col>
                    <xdr:colOff>502920</xdr:colOff>
                    <xdr:row>14</xdr:row>
                    <xdr:rowOff>53340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 Online</Application>
  <Manager/>
  <Company>ArteliaGroup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LOYSEL Arthur</dc:creator>
  <cp:keywords/>
  <dc:description/>
  <cp:lastModifiedBy>LOYSEL Arthur</cp:lastModifiedBy>
  <cp:revision/>
  <dcterms:created xsi:type="dcterms:W3CDTF">2024-08-23T14:33:41Z</dcterms:created>
  <dcterms:modified xsi:type="dcterms:W3CDTF">2024-10-25T04:04:56Z</dcterms:modified>
  <cp:category/>
  <cp:contentStatus/>
</cp:coreProperties>
</file>