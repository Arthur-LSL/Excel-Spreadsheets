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tage_2A\standardisation_artelia\Notice\effort_tranchant\"/>
    </mc:Choice>
  </mc:AlternateContent>
  <xr:revisionPtr revIDLastSave="1" documentId="13_ncr:1_{D6FB01EA-73E0-443C-A47F-16D88D384E51}" xr6:coauthVersionLast="47" xr6:coauthVersionMax="47" xr10:uidLastSave="{5E6A7B0B-2A75-48F9-BB92-DD117C40F74C}"/>
  <bookViews>
    <workbookView xWindow="-108" yWindow="-108" windowWidth="23256" windowHeight="14016" firstSheet="1" activeTab="1" xr2:uid="{6BEB8F55-9FF2-4C02-B9B6-547F97558717}"/>
  </bookViews>
  <sheets>
    <sheet name="Manuel d'utilisation" sheetId="2" r:id="rId1"/>
    <sheet name="Effort tranchant" sheetId="1" r:id="rId2"/>
  </sheets>
  <definedNames>
    <definedName name="_xlnm.Print_Area" localSheetId="1">'Effort tranchant'!$A$24:$G$53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1" l="1"/>
  <c r="X16" i="1"/>
  <c r="Q18" i="1" a="1"/>
  <c r="R19" i="1" a="1"/>
  <c r="S19" i="1" a="1"/>
  <c r="S18" i="1" a="1"/>
  <c r="P19" i="1" a="1"/>
  <c r="R18" i="1" a="1"/>
  <c r="P18" i="1" a="1"/>
  <c r="Q19" i="1" a="1"/>
  <c r="C41" i="1" a="1"/>
  <c r="C36" i="1" a="1"/>
  <c r="C42" i="1" a="1"/>
  <c r="C35" i="1" a="1"/>
  <c r="C45" i="1" a="1"/>
  <c r="C40" i="1" a="1"/>
  <c r="C30" i="1" a="1"/>
  <c r="C39" i="1" a="1"/>
  <c r="C31" i="1" a="1"/>
  <c r="C41" i="1" l="1"/>
  <c r="C30" i="1"/>
  <c r="C31" i="1"/>
  <c r="C35" i="1"/>
  <c r="C45" i="1"/>
  <c r="C36" i="1"/>
  <c r="C39" i="1"/>
  <c r="C40" i="1"/>
  <c r="C42" i="1"/>
  <c r="S19" i="1"/>
  <c r="S18" i="1"/>
  <c r="R19" i="1"/>
  <c r="R18" i="1"/>
  <c r="Q19" i="1"/>
  <c r="Q18" i="1"/>
  <c r="P19" i="1"/>
  <c r="P18" i="1"/>
  <c r="X19" i="1" l="1"/>
  <c r="X18" i="1"/>
  <c r="X17" i="1"/>
  <c r="F17" i="1"/>
  <c r="R17" i="1" a="1"/>
  <c r="S16" i="1" a="1"/>
  <c r="P17" i="1" a="1"/>
  <c r="Q17" i="1" a="1"/>
  <c r="Q16" i="1" a="1"/>
  <c r="S17" i="1" a="1"/>
  <c r="P16" i="1" a="1"/>
  <c r="R16" i="1" a="1"/>
  <c r="C32" i="1" a="1"/>
  <c r="C32" i="1" l="1"/>
  <c r="S17" i="1"/>
  <c r="R17" i="1"/>
  <c r="P17" i="1"/>
  <c r="Q17" i="1"/>
  <c r="Q16" i="1"/>
  <c r="P16" i="1"/>
  <c r="S16" i="1"/>
  <c r="R16" i="1"/>
  <c r="C48" i="1" a="1"/>
  <c r="C52" i="1" a="1"/>
  <c r="C53" i="1" a="1"/>
  <c r="C49" i="1" a="1"/>
  <c r="C52" i="1" l="1"/>
  <c r="C53" i="1"/>
  <c r="C48" i="1"/>
  <c r="C4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<sst xmlns="http://schemas.openxmlformats.org/spreadsheetml/2006/main" count="104" uniqueCount="84">
  <si>
    <t>Manuel d'utilisation</t>
  </si>
  <si>
    <t>Auteur:</t>
  </si>
  <si>
    <t>Arthur LOYSEL</t>
  </si>
  <si>
    <t>Ce fichier contient des feuilles de calculs qui sont présentées comme suit:</t>
  </si>
  <si>
    <t>Onglet 1</t>
  </si>
  <si>
    <t>Onglet 2</t>
  </si>
  <si>
    <t>Calcul du ferraillage transversal pour une section rectangulaire</t>
  </si>
  <si>
    <t>Mode d'utilisation</t>
  </si>
  <si>
    <r>
      <t xml:space="preserve">Les données à rentrées sont dans le tableau en </t>
    </r>
    <r>
      <rPr>
        <sz val="11"/>
        <color rgb="FFFF0000"/>
        <rFont val="Calibri"/>
        <family val="2"/>
        <scheme val="minor"/>
      </rPr>
      <t>rouge</t>
    </r>
    <r>
      <rPr>
        <sz val="11"/>
        <color theme="1"/>
        <rFont val="Calibri"/>
        <family val="2"/>
        <scheme val="minor"/>
      </rPr>
      <t>.</t>
    </r>
  </si>
  <si>
    <t>Une synthèse des résultats est disponible en bas du tableau. Pour afficher les résultats de la ligne qui vous intéresse, rentrez le numéro de la ligne à côté de "Afficher ligne"</t>
  </si>
  <si>
    <t>Limites du fichier</t>
  </si>
  <si>
    <t>Pas de charge concentrée</t>
  </si>
  <si>
    <t>Pas d'effort tranchant réduit</t>
  </si>
  <si>
    <t>Pas de transmission directe sur appui  donc section légèrement surdimensionné</t>
  </si>
  <si>
    <t>La méthode utilisé est celle de l'inclinaison variable des bielles: rentrer alpha = angle des barres transversales ce qui va donner l'angle des bielles theta. Cette méthode permet de réduire la section d'acier transversale, mais en contrepartie, on augmente la section d'acier longitudinale: voir Pratique de l'eurocode §4.6 du chapitre effort tranchant</t>
  </si>
  <si>
    <t>Feuille valable que pour des éléments de hauteur constante</t>
  </si>
  <si>
    <t>Pour un calcul plus complet prenant en compte plus de paramètres, voir la feuille "EC2 Effort tranchant"</t>
  </si>
  <si>
    <t>Bibliographie</t>
  </si>
  <si>
    <t>Pratique de l'Eurocode 2, J. ROUX, Chapitre 8</t>
  </si>
  <si>
    <t>1=Poutre Iso, Dalle, Poutre continue</t>
  </si>
  <si>
    <t>2=Voile</t>
  </si>
  <si>
    <t>3=Dalle bénéficiant d'un effet de redistribution transversale</t>
  </si>
  <si>
    <t>TRANCHANT</t>
  </si>
  <si>
    <t>Type de pièce</t>
  </si>
  <si>
    <r>
      <t>b</t>
    </r>
    <r>
      <rPr>
        <vertAlign val="subscript"/>
        <sz val="9"/>
        <rFont val="Verdana"/>
        <family val="2"/>
      </rPr>
      <t>w</t>
    </r>
  </si>
  <si>
    <t>h</t>
  </si>
  <si>
    <t>d</t>
  </si>
  <si>
    <r>
      <t>V</t>
    </r>
    <r>
      <rPr>
        <vertAlign val="subscript"/>
        <sz val="9"/>
        <rFont val="Verdana"/>
        <family val="2"/>
      </rPr>
      <t>ed</t>
    </r>
  </si>
  <si>
    <r>
      <t>N</t>
    </r>
    <r>
      <rPr>
        <vertAlign val="subscript"/>
        <sz val="9"/>
        <rFont val="Verdana"/>
        <family val="2"/>
      </rPr>
      <t>ed</t>
    </r>
  </si>
  <si>
    <r>
      <t>A</t>
    </r>
    <r>
      <rPr>
        <vertAlign val="subscript"/>
        <sz val="9"/>
        <rFont val="Verdana"/>
        <family val="2"/>
      </rPr>
      <t>sl</t>
    </r>
  </si>
  <si>
    <r>
      <t>f</t>
    </r>
    <r>
      <rPr>
        <vertAlign val="subscript"/>
        <sz val="9"/>
        <rFont val="Verdana"/>
        <family val="2"/>
      </rPr>
      <t>ck</t>
    </r>
  </si>
  <si>
    <r>
      <t>g</t>
    </r>
    <r>
      <rPr>
        <vertAlign val="subscript"/>
        <sz val="9"/>
        <rFont val="Verdana"/>
        <family val="2"/>
      </rPr>
      <t>c</t>
    </r>
  </si>
  <si>
    <r>
      <t>f</t>
    </r>
    <r>
      <rPr>
        <vertAlign val="subscript"/>
        <sz val="9"/>
        <rFont val="Verdana"/>
        <family val="2"/>
      </rPr>
      <t>ywk</t>
    </r>
  </si>
  <si>
    <r>
      <t>g</t>
    </r>
    <r>
      <rPr>
        <vertAlign val="subscript"/>
        <sz val="9"/>
        <rFont val="Verdana"/>
        <family val="2"/>
      </rPr>
      <t>s</t>
    </r>
  </si>
  <si>
    <t>a</t>
  </si>
  <si>
    <t>q</t>
  </si>
  <si>
    <r>
      <t>V</t>
    </r>
    <r>
      <rPr>
        <vertAlign val="subscript"/>
        <sz val="9"/>
        <rFont val="Verdana"/>
        <family val="2"/>
      </rPr>
      <t>Rd,c</t>
    </r>
  </si>
  <si>
    <r>
      <t>V</t>
    </r>
    <r>
      <rPr>
        <vertAlign val="subscript"/>
        <sz val="9"/>
        <rFont val="Verdana"/>
        <family val="2"/>
      </rPr>
      <t>Rd,max</t>
    </r>
  </si>
  <si>
    <r>
      <t>A</t>
    </r>
    <r>
      <rPr>
        <vertAlign val="subscript"/>
        <sz val="9"/>
        <rFont val="Verdana"/>
        <family val="2"/>
      </rPr>
      <t>sw</t>
    </r>
    <r>
      <rPr>
        <sz val="9"/>
        <rFont val="Verdana"/>
        <family val="2"/>
      </rPr>
      <t>/s</t>
    </r>
  </si>
  <si>
    <r>
      <t>(A</t>
    </r>
    <r>
      <rPr>
        <vertAlign val="subscript"/>
        <sz val="9"/>
        <rFont val="Verdana"/>
        <family val="2"/>
      </rPr>
      <t>sw</t>
    </r>
    <r>
      <rPr>
        <sz val="9"/>
        <rFont val="Verdana"/>
        <family val="2"/>
      </rPr>
      <t>/s)</t>
    </r>
    <r>
      <rPr>
        <vertAlign val="subscript"/>
        <sz val="9"/>
        <rFont val="Verdana"/>
        <family val="2"/>
      </rPr>
      <t>min</t>
    </r>
  </si>
  <si>
    <t>Diamètre cadres</t>
  </si>
  <si>
    <t>Diamètre étriers</t>
  </si>
  <si>
    <t>Diamètre épingles</t>
  </si>
  <si>
    <t>Espacement</t>
  </si>
  <si>
    <r>
      <t>A</t>
    </r>
    <r>
      <rPr>
        <vertAlign val="subscript"/>
        <sz val="9"/>
        <rFont val="Verdana"/>
        <family val="2"/>
      </rPr>
      <t>sw</t>
    </r>
    <r>
      <rPr>
        <sz val="9"/>
        <rFont val="Verdana"/>
        <family val="2"/>
      </rPr>
      <t>/s</t>
    </r>
    <r>
      <rPr>
        <vertAlign val="subscript"/>
        <sz val="9"/>
        <rFont val="Verdana"/>
        <family val="2"/>
      </rPr>
      <t>réel</t>
    </r>
  </si>
  <si>
    <t>[m]</t>
  </si>
  <si>
    <t>[kN]</t>
  </si>
  <si>
    <t>[cm²]</t>
  </si>
  <si>
    <t>[MPa]</t>
  </si>
  <si>
    <t>[°]</t>
  </si>
  <si>
    <t>[cm²/ml]</t>
  </si>
  <si>
    <t>[mm]</t>
  </si>
  <si>
    <t>[cm]</t>
  </si>
  <si>
    <t>Dalle</t>
  </si>
  <si>
    <t>Voile</t>
  </si>
  <si>
    <t>Poutre</t>
  </si>
  <si>
    <t xml:space="preserve">Afficher ligne </t>
  </si>
  <si>
    <t>Résultats flexion simple ELS</t>
  </si>
  <si>
    <t>Géométrie de la section</t>
  </si>
  <si>
    <t>Unité</t>
  </si>
  <si>
    <t>bw=</t>
  </si>
  <si>
    <t>m</t>
  </si>
  <si>
    <t>h=</t>
  </si>
  <si>
    <t>d=</t>
  </si>
  <si>
    <t>Sollicitations</t>
  </si>
  <si>
    <t>Ved=</t>
  </si>
  <si>
    <t>kN</t>
  </si>
  <si>
    <t>Ned=</t>
  </si>
  <si>
    <t>Matériaux</t>
  </si>
  <si>
    <t>fck=</t>
  </si>
  <si>
    <t>MPa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</si>
  <si>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c=</t>
    </r>
  </si>
  <si>
    <t>fywk=</t>
  </si>
  <si>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Calibri"/>
        <family val="2"/>
        <scheme val="minor"/>
      </rPr>
      <t>s=</t>
    </r>
  </si>
  <si>
    <t>Angle des aciers transversaux</t>
  </si>
  <si>
    <r>
      <t>a</t>
    </r>
    <r>
      <rPr>
        <sz val="9"/>
        <rFont val="Calibri"/>
        <family val="2"/>
        <scheme val="minor"/>
      </rPr>
      <t>=</t>
    </r>
  </si>
  <si>
    <t>°</t>
  </si>
  <si>
    <t>Efforts tranchants résistants</t>
  </si>
  <si>
    <t>Vrd,c=</t>
  </si>
  <si>
    <t>Vrd,max=</t>
  </si>
  <si>
    <t>Section d'acier</t>
  </si>
  <si>
    <r>
      <t>A</t>
    </r>
    <r>
      <rPr>
        <vertAlign val="subscript"/>
        <sz val="9"/>
        <rFont val="Verdana"/>
        <family val="2"/>
      </rPr>
      <t>sw</t>
    </r>
    <r>
      <rPr>
        <sz val="9"/>
        <rFont val="Verdana"/>
        <family val="2"/>
      </rPr>
      <t>/s=</t>
    </r>
  </si>
  <si>
    <t>cm²</t>
  </si>
  <si>
    <r>
      <t>(A</t>
    </r>
    <r>
      <rPr>
        <vertAlign val="subscript"/>
        <sz val="9"/>
        <rFont val="Verdana"/>
        <family val="2"/>
      </rPr>
      <t>sw</t>
    </r>
    <r>
      <rPr>
        <sz val="9"/>
        <rFont val="Verdana"/>
        <family val="2"/>
      </rPr>
      <t>/s)</t>
    </r>
    <r>
      <rPr>
        <vertAlign val="subscript"/>
        <sz val="9"/>
        <rFont val="Verdana"/>
        <family val="2"/>
      </rPr>
      <t>min</t>
    </r>
    <r>
      <rPr>
        <sz val="9"/>
        <rFont val="Verdana"/>
        <family val="2"/>
      </rPr>
      <t>=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</si>
</sst>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_-* #,##0.0\ _€_-;\-* #,##0.0\ _€_-;_-* &quot;-&quot;??\ _€_-;_-@_-"/>
    <numFmt numFmtId="166" formatCode="_-* #,##0.00\ _€_-;\-* #,##0.00\ _€_-;_-* &quot;-&quot;??\ _€_-;_-@_-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Verdana"/>
      <family val="2"/>
    </font>
    <font>
      <vertAlign val="subscript"/>
      <sz val="9"/>
      <name val="Verdana"/>
      <family val="2"/>
    </font>
    <font>
      <sz val="9"/>
      <name val="Symbol"/>
      <family val="1"/>
      <charset val="2"/>
    </font>
    <font>
      <sz val="8"/>
      <name val="Verdana"/>
      <family val="2"/>
    </font>
    <font>
      <sz val="9"/>
      <color rgb="FFFF0000"/>
      <name val="Verdana"/>
      <family val="2"/>
    </font>
    <font>
      <b/>
      <sz val="9"/>
      <name val="Verdana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9"/>
      <name val="Verdana"/>
      <family val="1"/>
      <charset val="2"/>
    </font>
    <font>
      <sz val="9"/>
      <name val="Calibri"/>
      <family val="2"/>
      <scheme val="minor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/>
  </cellStyleXfs>
  <cellXfs count="40">
    <xf numFmtId="0" fontId="0" fillId="0" borderId="0" xfId="0"/>
    <xf numFmtId="0" fontId="3" fillId="0" borderId="2" xfId="2" applyFont="1" applyBorder="1" applyAlignment="1">
      <alignment horizontal="center" vertical="center"/>
    </xf>
    <xf numFmtId="0" fontId="5" fillId="0" borderId="2" xfId="2" applyFont="1" applyBorder="1" applyAlignment="1">
      <alignment horizontal="center" vertical="center"/>
    </xf>
    <xf numFmtId="0" fontId="3" fillId="0" borderId="2" xfId="2" applyFont="1" applyBorder="1" applyAlignment="1">
      <alignment horizontal="center" vertical="center" wrapText="1"/>
    </xf>
    <xf numFmtId="0" fontId="6" fillId="0" borderId="2" xfId="2" applyFont="1" applyBorder="1" applyAlignment="1">
      <alignment horizontal="center"/>
    </xf>
    <xf numFmtId="0" fontId="3" fillId="0" borderId="2" xfId="2" applyFont="1" applyBorder="1" applyAlignment="1">
      <alignment horizontal="center"/>
    </xf>
    <xf numFmtId="2" fontId="3" fillId="0" borderId="2" xfId="2" applyNumberFormat="1" applyFont="1" applyBorder="1" applyAlignment="1">
      <alignment horizontal="center"/>
    </xf>
    <xf numFmtId="0" fontId="7" fillId="0" borderId="2" xfId="2" applyFont="1" applyBorder="1" applyAlignment="1">
      <alignment horizontal="center"/>
    </xf>
    <xf numFmtId="164" fontId="3" fillId="0" borderId="2" xfId="2" applyNumberFormat="1" applyFont="1" applyBorder="1" applyAlignment="1">
      <alignment horizontal="center"/>
    </xf>
    <xf numFmtId="1" fontId="7" fillId="0" borderId="2" xfId="2" applyNumberFormat="1" applyFont="1" applyBorder="1" applyAlignment="1">
      <alignment horizontal="center"/>
    </xf>
    <xf numFmtId="165" fontId="3" fillId="0" borderId="2" xfId="1" applyNumberFormat="1" applyFont="1" applyFill="1" applyBorder="1" applyAlignment="1">
      <alignment horizontal="center"/>
    </xf>
    <xf numFmtId="0" fontId="7" fillId="0" borderId="0" xfId="2" applyFont="1" applyAlignment="1">
      <alignment horizontal="center"/>
    </xf>
    <xf numFmtId="164" fontId="7" fillId="0" borderId="2" xfId="2" applyNumberFormat="1" applyFont="1" applyBorder="1" applyAlignment="1">
      <alignment horizontal="center"/>
    </xf>
    <xf numFmtId="166" fontId="3" fillId="0" borderId="2" xfId="1" applyNumberFormat="1" applyFont="1" applyFill="1" applyBorder="1" applyAlignment="1">
      <alignment horizontal="center"/>
    </xf>
    <xf numFmtId="2" fontId="7" fillId="0" borderId="2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12" fillId="2" borderId="0" xfId="0" applyFont="1" applyFill="1"/>
    <xf numFmtId="0" fontId="0" fillId="2" borderId="0" xfId="0" applyFill="1"/>
    <xf numFmtId="0" fontId="12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1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0" fontId="14" fillId="0" borderId="0" xfId="2" applyFont="1" applyAlignment="1">
      <alignment horizontal="right" vertical="center"/>
    </xf>
    <xf numFmtId="0" fontId="5" fillId="0" borderId="0" xfId="2" applyFont="1" applyAlignment="1">
      <alignment horizontal="right" vertical="center"/>
    </xf>
    <xf numFmtId="0" fontId="17" fillId="0" borderId="0" xfId="0" applyFont="1" applyAlignment="1">
      <alignment horizontal="right"/>
    </xf>
    <xf numFmtId="0" fontId="3" fillId="0" borderId="0" xfId="2" applyFont="1" applyAlignment="1">
      <alignment horizontal="right" vertical="center"/>
    </xf>
    <xf numFmtId="0" fontId="12" fillId="0" borderId="0" xfId="0" applyFont="1"/>
    <xf numFmtId="2" fontId="13" fillId="0" borderId="0" xfId="0" applyNumberFormat="1" applyFont="1"/>
    <xf numFmtId="0" fontId="10" fillId="0" borderId="0" xfId="0" applyFont="1"/>
    <xf numFmtId="0" fontId="18" fillId="0" borderId="0" xfId="0" applyFont="1"/>
    <xf numFmtId="0" fontId="19" fillId="0" borderId="0" xfId="0" applyFont="1"/>
    <xf numFmtId="0" fontId="8" fillId="0" borderId="2" xfId="2" applyFont="1" applyBorder="1" applyAlignment="1">
      <alignment horizontal="center" vertical="center"/>
    </xf>
    <xf numFmtId="0" fontId="3" fillId="0" borderId="1" xfId="2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 wrapText="1"/>
    </xf>
    <xf numFmtId="0" fontId="5" fillId="0" borderId="1" xfId="2" applyFont="1" applyBorder="1" applyAlignment="1">
      <alignment horizontal="center" vertical="center"/>
    </xf>
    <xf numFmtId="0" fontId="5" fillId="0" borderId="3" xfId="2" applyFont="1" applyBorder="1" applyAlignment="1">
      <alignment horizontal="center" vertical="center"/>
    </xf>
    <xf numFmtId="0" fontId="11" fillId="0" borderId="0" xfId="0" applyFont="1" applyAlignment="1">
      <alignment horizontal="center"/>
    </xf>
  </cellXfs>
  <cellStyles count="3">
    <cellStyle name="Milliers" xfId="1" builtinId="3"/>
    <cellStyle name="Normal" xfId="0" builtinId="0"/>
    <cellStyle name="Normal 2" xfId="2" xr:uid="{D9E40EA4-238F-4986-9E08-A00B355CE9A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35109</xdr:colOff>
      <xdr:row>0</xdr:row>
      <xdr:rowOff>144109</xdr:rowOff>
    </xdr:from>
    <xdr:to>
      <xdr:col>10</xdr:col>
      <xdr:colOff>741911</xdr:colOff>
      <xdr:row>10</xdr:row>
      <xdr:rowOff>113869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A375B2D0-8992-51C2-7EC2-E15747CDA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89989" y="144109"/>
          <a:ext cx="3891962" cy="1798560"/>
        </a:xfrm>
        <a:prstGeom prst="rect">
          <a:avLst/>
        </a:prstGeom>
      </xdr:spPr>
    </xdr:pic>
    <xdr:clientData/>
  </xdr:twoCellAnchor>
  <xdr:twoCellAnchor>
    <xdr:from>
      <xdr:col>8</xdr:col>
      <xdr:colOff>396130</xdr:colOff>
      <xdr:row>10</xdr:row>
      <xdr:rowOff>113869</xdr:rowOff>
    </xdr:from>
    <xdr:to>
      <xdr:col>8</xdr:col>
      <xdr:colOff>396240</xdr:colOff>
      <xdr:row>13</xdr:row>
      <xdr:rowOff>7620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77840E41-A964-CF96-3A41-58474152C145}"/>
            </a:ext>
          </a:extLst>
        </xdr:cNvPr>
        <xdr:cNvCxnSpPr>
          <a:endCxn id="2" idx="2"/>
        </xdr:cNvCxnSpPr>
      </xdr:nvCxnSpPr>
      <xdr:spPr>
        <a:xfrm flipH="1" flipV="1">
          <a:off x="6735970" y="1942669"/>
          <a:ext cx="110" cy="44239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224117</xdr:colOff>
      <xdr:row>6</xdr:row>
      <xdr:rowOff>29868</xdr:rowOff>
    </xdr:from>
    <xdr:to>
      <xdr:col>5</xdr:col>
      <xdr:colOff>573740</xdr:colOff>
      <xdr:row>8</xdr:row>
      <xdr:rowOff>133253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3DBFCD1E-5D10-42C5-AF1A-1E150BB37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4117" y="1105633"/>
          <a:ext cx="4383741" cy="47340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C62BF-1B0C-4EA1-98BB-2F0DA95210F0}">
  <sheetPr codeName="Feuil2"/>
  <dimension ref="A1:B24"/>
  <sheetViews>
    <sheetView zoomScaleNormal="100" workbookViewId="0">
      <selection activeCell="G30" sqref="G30"/>
    </sheetView>
  </sheetViews>
  <sheetFormatPr defaultColWidth="11.42578125" defaultRowHeight="14.45"/>
  <sheetData>
    <row r="1" spans="1:2">
      <c r="A1" s="31" t="s">
        <v>0</v>
      </c>
    </row>
    <row r="2" spans="1:2">
      <c r="A2" t="s">
        <v>1</v>
      </c>
      <c r="B2" t="s">
        <v>2</v>
      </c>
    </row>
    <row r="4" spans="1:2">
      <c r="A4" t="s">
        <v>3</v>
      </c>
    </row>
    <row r="5" spans="1:2">
      <c r="A5" s="32" t="s">
        <v>4</v>
      </c>
      <c r="B5" t="s">
        <v>0</v>
      </c>
    </row>
    <row r="6" spans="1:2">
      <c r="A6" s="32" t="s">
        <v>5</v>
      </c>
      <c r="B6" t="s">
        <v>6</v>
      </c>
    </row>
    <row r="7" spans="1:2">
      <c r="A7" s="32"/>
    </row>
    <row r="8" spans="1:2">
      <c r="A8" s="32"/>
    </row>
    <row r="9" spans="1:2">
      <c r="A9" s="31" t="s">
        <v>7</v>
      </c>
    </row>
    <row r="10" spans="1:2">
      <c r="A10" t="s">
        <v>8</v>
      </c>
    </row>
    <row r="11" spans="1:2">
      <c r="A11" t="s">
        <v>9</v>
      </c>
    </row>
    <row r="14" spans="1:2">
      <c r="A14" s="31" t="s">
        <v>10</v>
      </c>
    </row>
    <row r="15" spans="1:2">
      <c r="A15" t="s">
        <v>11</v>
      </c>
    </row>
    <row r="16" spans="1:2">
      <c r="A16" t="s">
        <v>12</v>
      </c>
    </row>
    <row r="17" spans="1:1">
      <c r="A17" t="s">
        <v>13</v>
      </c>
    </row>
    <row r="18" spans="1:1">
      <c r="A18" t="s">
        <v>14</v>
      </c>
    </row>
    <row r="19" spans="1:1">
      <c r="A19" t="s">
        <v>15</v>
      </c>
    </row>
    <row r="21" spans="1:1">
      <c r="A21" s="33" t="s">
        <v>16</v>
      </c>
    </row>
    <row r="23" spans="1:1">
      <c r="A23" s="31" t="s">
        <v>17</v>
      </c>
    </row>
    <row r="24" spans="1:1">
      <c r="A24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DC8E6-7F3F-41A2-A1DC-179A41120BBC}">
  <sheetPr codeName="Feuil1"/>
  <dimension ref="A11:X56"/>
  <sheetViews>
    <sheetView tabSelected="1" zoomScale="85" zoomScaleNormal="85" workbookViewId="0">
      <selection activeCell="L55" sqref="L55"/>
    </sheetView>
  </sheetViews>
  <sheetFormatPr defaultColWidth="11.42578125" defaultRowHeight="14.45"/>
  <cols>
    <col min="2" max="2" width="12.7109375" bestFit="1" customWidth="1"/>
    <col min="15" max="15" width="11.5703125" hidden="1" customWidth="1"/>
    <col min="17" max="17" width="10.7109375" customWidth="1"/>
    <col min="18" max="18" width="30.85546875" bestFit="1" customWidth="1"/>
  </cols>
  <sheetData>
    <row r="11" spans="2:24">
      <c r="C11" t="s">
        <v>19</v>
      </c>
    </row>
    <row r="12" spans="2:24">
      <c r="C12" t="s">
        <v>20</v>
      </c>
    </row>
    <row r="13" spans="2:24">
      <c r="C13" t="s">
        <v>21</v>
      </c>
    </row>
    <row r="14" spans="2:24" ht="22.9">
      <c r="B14" s="34" t="s">
        <v>22</v>
      </c>
      <c r="C14" s="35" t="s">
        <v>23</v>
      </c>
      <c r="D14" s="1" t="s">
        <v>24</v>
      </c>
      <c r="E14" s="1" t="s">
        <v>25</v>
      </c>
      <c r="F14" s="1" t="s">
        <v>26</v>
      </c>
      <c r="G14" s="1" t="s">
        <v>27</v>
      </c>
      <c r="H14" s="1" t="s">
        <v>28</v>
      </c>
      <c r="I14" s="1" t="s">
        <v>29</v>
      </c>
      <c r="J14" s="1" t="s">
        <v>30</v>
      </c>
      <c r="K14" s="37" t="s">
        <v>31</v>
      </c>
      <c r="L14" s="1" t="s">
        <v>32</v>
      </c>
      <c r="M14" s="37" t="s">
        <v>33</v>
      </c>
      <c r="N14" s="2" t="s">
        <v>34</v>
      </c>
      <c r="O14" s="2" t="s">
        <v>35</v>
      </c>
      <c r="P14" s="1" t="s">
        <v>36</v>
      </c>
      <c r="Q14" s="1" t="s">
        <v>37</v>
      </c>
      <c r="R14" s="1" t="s">
        <v>38</v>
      </c>
      <c r="S14" s="1" t="s">
        <v>39</v>
      </c>
      <c r="T14" s="3" t="s">
        <v>40</v>
      </c>
      <c r="U14" s="3" t="s">
        <v>41</v>
      </c>
      <c r="V14" s="3" t="s">
        <v>42</v>
      </c>
      <c r="W14" s="1" t="s">
        <v>43</v>
      </c>
      <c r="X14" s="1" t="s">
        <v>44</v>
      </c>
    </row>
    <row r="15" spans="2:24">
      <c r="B15" s="34"/>
      <c r="C15" s="36"/>
      <c r="D15" s="4" t="s">
        <v>45</v>
      </c>
      <c r="E15" s="4" t="s">
        <v>45</v>
      </c>
      <c r="F15" s="4" t="s">
        <v>45</v>
      </c>
      <c r="G15" s="4" t="s">
        <v>46</v>
      </c>
      <c r="H15" s="4" t="s">
        <v>46</v>
      </c>
      <c r="I15" s="4" t="s">
        <v>47</v>
      </c>
      <c r="J15" s="4" t="s">
        <v>48</v>
      </c>
      <c r="K15" s="38"/>
      <c r="L15" s="4" t="s">
        <v>48</v>
      </c>
      <c r="M15" s="38"/>
      <c r="N15" s="4" t="s">
        <v>49</v>
      </c>
      <c r="O15" s="4" t="s">
        <v>49</v>
      </c>
      <c r="P15" s="4" t="s">
        <v>46</v>
      </c>
      <c r="Q15" s="4" t="s">
        <v>46</v>
      </c>
      <c r="R15" s="4" t="s">
        <v>50</v>
      </c>
      <c r="S15" s="4" t="s">
        <v>50</v>
      </c>
      <c r="T15" s="4" t="s">
        <v>51</v>
      </c>
      <c r="U15" s="4" t="s">
        <v>51</v>
      </c>
      <c r="V15" s="4" t="s">
        <v>51</v>
      </c>
      <c r="W15" s="4" t="s">
        <v>52</v>
      </c>
      <c r="X15" s="4" t="s">
        <v>50</v>
      </c>
    </row>
    <row r="16" spans="2:24">
      <c r="B16" s="5" t="s">
        <v>53</v>
      </c>
      <c r="C16" s="7">
        <v>1</v>
      </c>
      <c r="D16" s="14">
        <v>0.25</v>
      </c>
      <c r="E16" s="7">
        <v>0.55000000000000004</v>
      </c>
      <c r="F16" s="14">
        <v>0.49199999999999999</v>
      </c>
      <c r="G16" s="7">
        <v>120.11</v>
      </c>
      <c r="H16" s="7">
        <v>0</v>
      </c>
      <c r="I16" s="12">
        <v>2.58</v>
      </c>
      <c r="J16" s="7">
        <v>25</v>
      </c>
      <c r="K16" s="14">
        <v>1.5</v>
      </c>
      <c r="L16" s="7">
        <v>500</v>
      </c>
      <c r="M16" s="7">
        <v>1.1499999999999999</v>
      </c>
      <c r="N16" s="11">
        <v>90</v>
      </c>
      <c r="O16" s="5">
        <v>45</v>
      </c>
      <c r="P16" s="8" cm="1">
        <f t="array" ref="P16">EC2_TRANCHANT(D16,F16,G16,H16,I16,J16,K16,L16,M16,C16,N16,2)</f>
        <v>45.536768427131378</v>
      </c>
      <c r="Q16" s="8" cm="1">
        <f t="array" ref="Q16">EC2_TRANCHANT(D16,F16,G16,H16,I16,J16,K16,L16,M16,C16,N16,3)</f>
        <v>343.5517241379311</v>
      </c>
      <c r="R16" s="6" cm="1">
        <f t="array" ref="R16">EC2_TRANCHANT(D16,F16,G16,H16,I16,J16,K16,L16,M16,C16,N16,1)</f>
        <v>2.4955103884372174</v>
      </c>
      <c r="S16" s="6" cm="1">
        <f t="array" ref="S16">EC2_TRANCHANT(D16,F16,G16,H16,I16,J16,K16,L16,M16,C16,N16,4)</f>
        <v>2</v>
      </c>
      <c r="T16" s="9">
        <v>6</v>
      </c>
      <c r="U16" s="9">
        <v>6</v>
      </c>
      <c r="V16" s="9">
        <v>0</v>
      </c>
      <c r="W16" s="9">
        <v>18</v>
      </c>
      <c r="X16" s="13">
        <f>(PI()*(T16/10)^2/4*2+PI()*(U16/10)^2/4*2+PI()*(V16/10)^2/4)*100/W16</f>
        <v>6.2831853071795862</v>
      </c>
    </row>
    <row r="17" spans="1:24">
      <c r="B17" s="5" t="s">
        <v>54</v>
      </c>
      <c r="C17" s="7">
        <v>2</v>
      </c>
      <c r="D17" s="14">
        <v>0.75</v>
      </c>
      <c r="E17" s="7">
        <v>2.0499999999999998</v>
      </c>
      <c r="F17" s="14">
        <f>0.9*E17</f>
        <v>1.845</v>
      </c>
      <c r="G17" s="7">
        <v>4277</v>
      </c>
      <c r="H17" s="7">
        <v>0</v>
      </c>
      <c r="I17" s="12">
        <v>104.52</v>
      </c>
      <c r="J17" s="7">
        <v>25</v>
      </c>
      <c r="K17" s="14">
        <v>1.5</v>
      </c>
      <c r="L17" s="7">
        <v>500</v>
      </c>
      <c r="M17" s="7">
        <v>1.1499999999999999</v>
      </c>
      <c r="N17" s="7">
        <v>90</v>
      </c>
      <c r="O17" s="5">
        <v>45</v>
      </c>
      <c r="P17" s="8" cm="1">
        <f t="array" ref="P17">EC2_TRANCHANT(D17,F17,G17,H17,I17,J17,K17,L17,M17,C17,N17,2)</f>
        <v>1614.3749999999998</v>
      </c>
      <c r="Q17" s="8" cm="1">
        <f t="array" ref="Q17">EC2_TRANCHANT(D17,F17,G17,H17,I17,J17,K17,L17,M17,C17,N17,3)</f>
        <v>4277</v>
      </c>
      <c r="R17" s="6" cm="1">
        <f t="array" ref="R17">EC2_TRANCHANT(D17,F17,G17,H17,I17,J17,K17,L17,M17,C17,N17,1)</f>
        <v>27.464752863327224</v>
      </c>
      <c r="S17" s="6" cm="1">
        <f t="array" ref="S17">EC2_TRANCHANT(D17,F17,G17,H17,I17,J17,K17,L17,M17,C17,N17,4)</f>
        <v>6</v>
      </c>
      <c r="T17" s="9">
        <v>25</v>
      </c>
      <c r="U17" s="9">
        <v>6</v>
      </c>
      <c r="V17" s="9">
        <v>0</v>
      </c>
      <c r="W17" s="9">
        <v>15</v>
      </c>
      <c r="X17" s="10">
        <f>PI()*(T17/10)^2/4*2*100/W17</f>
        <v>65.449846949787357</v>
      </c>
    </row>
    <row r="18" spans="1:24">
      <c r="B18" s="5" t="s">
        <v>54</v>
      </c>
      <c r="C18" s="7">
        <v>2</v>
      </c>
      <c r="D18" s="14">
        <v>0.22</v>
      </c>
      <c r="E18" s="7">
        <v>0.85</v>
      </c>
      <c r="F18" s="14">
        <v>0.8</v>
      </c>
      <c r="G18" s="7">
        <v>269.47000000000003</v>
      </c>
      <c r="H18" s="7">
        <v>0</v>
      </c>
      <c r="I18" s="12">
        <v>16.079999999999998</v>
      </c>
      <c r="J18" s="7">
        <v>25</v>
      </c>
      <c r="K18" s="14">
        <v>1.5</v>
      </c>
      <c r="L18" s="7">
        <v>500</v>
      </c>
      <c r="M18" s="7">
        <v>1.1499999999999999</v>
      </c>
      <c r="N18" s="7">
        <v>90</v>
      </c>
      <c r="O18" s="5">
        <v>45</v>
      </c>
      <c r="P18" s="8" cm="1">
        <f t="array" ref="P18">EC2_TRANCHANT(D18,F18,G18,H18,I18,J18,K18,L18,M18,C18,N18,2)</f>
        <v>205.33333333333331</v>
      </c>
      <c r="Q18" s="8" cm="1">
        <f t="array" ref="Q18">EC2_TRANCHANT(D18,F18,G18,H18,I18,J18,K18,L18,M18,C18,N18,3)</f>
        <v>491.58620689655186</v>
      </c>
      <c r="R18" s="6" cm="1">
        <f t="array" ref="R18">EC2_TRANCHANT(D18,F18,G18,H18,I18,J18,K18,L18,M18,C18,N18,1)</f>
        <v>3.4432277777777776</v>
      </c>
      <c r="S18" s="6" cm="1">
        <f t="array" ref="S18">EC2_TRANCHANT(D18,F18,G18,H18,I18,J18,K18,L18,M18,C18,N18,4)</f>
        <v>1.76</v>
      </c>
      <c r="T18" s="9">
        <v>40</v>
      </c>
      <c r="U18" s="9">
        <v>6</v>
      </c>
      <c r="V18" s="9">
        <v>0</v>
      </c>
      <c r="W18" s="9">
        <v>20</v>
      </c>
      <c r="X18" s="10">
        <f>PI()*(T18/10)^2/4*2*100/W18</f>
        <v>125.66370614359172</v>
      </c>
    </row>
    <row r="19" spans="1:24">
      <c r="B19" s="5" t="s">
        <v>55</v>
      </c>
      <c r="C19" s="7">
        <v>1</v>
      </c>
      <c r="D19" s="14">
        <v>1</v>
      </c>
      <c r="E19" s="7">
        <v>0.45</v>
      </c>
      <c r="F19" s="14">
        <f>0.9*E19</f>
        <v>0.40500000000000003</v>
      </c>
      <c r="G19" s="7">
        <v>140</v>
      </c>
      <c r="H19" s="7">
        <v>0</v>
      </c>
      <c r="I19" s="12">
        <v>50</v>
      </c>
      <c r="J19" s="7">
        <v>35</v>
      </c>
      <c r="K19" s="14">
        <v>1.5</v>
      </c>
      <c r="L19" s="7">
        <v>500</v>
      </c>
      <c r="M19" s="7">
        <v>1.1499999999999999</v>
      </c>
      <c r="N19" s="7">
        <v>90</v>
      </c>
      <c r="O19" s="5">
        <v>45</v>
      </c>
      <c r="P19" s="8" cm="1">
        <f t="array" ref="P19">EC2_TRANCHANT(D19,F19,G19,H19,I19,J19,K19,L19,M19,C19,N19,2)</f>
        <v>290.38620623227558</v>
      </c>
      <c r="Q19" s="8" cm="1">
        <f t="array" ref="Q19">EC2_TRANCHANT(D19,F19,G19,H19,I19,J19,K19,L19,M19,C19,N19,3)</f>
        <v>2194.2900000000004</v>
      </c>
      <c r="R19" s="6" cm="1">
        <f t="array" ref="R19">EC2_TRANCHANT(D19,F19,G19,H19,I19,J19,K19,L19,M19,C19,N19,1)</f>
        <v>9.4657276529593855</v>
      </c>
      <c r="S19" s="6" cm="1">
        <f t="array" ref="S19">EC2_TRANCHANT(D19,F19,G19,H19,I19,J19,K19,L19,M19,C19,N19,4)</f>
        <v>9.4657276529593855</v>
      </c>
      <c r="T19" s="9">
        <v>40</v>
      </c>
      <c r="U19" s="9">
        <v>6</v>
      </c>
      <c r="V19" s="9">
        <v>0</v>
      </c>
      <c r="W19" s="9">
        <v>20</v>
      </c>
      <c r="X19" s="10">
        <f>PI()*(T19/10)^2/4*2*100/W19</f>
        <v>125.66370614359172</v>
      </c>
    </row>
    <row r="23" spans="1:24">
      <c r="B23" t="s">
        <v>56</v>
      </c>
      <c r="C23" s="15">
        <v>16</v>
      </c>
    </row>
    <row r="25" spans="1:24" ht="23.45">
      <c r="B25" s="39" t="s">
        <v>57</v>
      </c>
      <c r="C25" s="39"/>
      <c r="D25" s="39"/>
      <c r="E25" s="39"/>
    </row>
    <row r="29" spans="1:24" ht="15.6">
      <c r="A29" s="16" t="s">
        <v>58</v>
      </c>
      <c r="B29" s="17"/>
      <c r="C29" s="17"/>
      <c r="D29" s="18" t="s">
        <v>59</v>
      </c>
      <c r="E29" s="17"/>
      <c r="F29" s="17"/>
      <c r="G29" s="17"/>
    </row>
    <row r="30" spans="1:24">
      <c r="B30" s="19" t="s">
        <v>60</v>
      </c>
      <c r="C30" s="20" cm="1">
        <f t="array" aca="1" ref="C30" ca="1">INDIRECT("D" &amp; C23)</f>
        <v>0.25</v>
      </c>
      <c r="D30" s="21" t="s">
        <v>61</v>
      </c>
    </row>
    <row r="31" spans="1:24">
      <c r="B31" s="19" t="s">
        <v>62</v>
      </c>
      <c r="C31" s="20" cm="1">
        <f t="array" aca="1" ref="C31" ca="1">INDIRECT("E" &amp; C23)</f>
        <v>0.55000000000000004</v>
      </c>
      <c r="D31" s="22" t="s">
        <v>61</v>
      </c>
    </row>
    <row r="32" spans="1:24">
      <c r="B32" s="19" t="s">
        <v>63</v>
      </c>
      <c r="C32" s="20" cm="1">
        <f t="array" aca="1" ref="C32" ca="1">INDIRECT("F" &amp; C23)</f>
        <v>0.49199999999999999</v>
      </c>
      <c r="D32" s="21" t="s">
        <v>61</v>
      </c>
    </row>
    <row r="33" spans="1:7">
      <c r="B33" s="19"/>
      <c r="C33" s="20"/>
      <c r="D33" s="21"/>
    </row>
    <row r="34" spans="1:7" ht="15.6">
      <c r="A34" s="16" t="s">
        <v>64</v>
      </c>
      <c r="B34" s="23"/>
      <c r="C34" s="17"/>
      <c r="D34" s="24"/>
      <c r="E34" s="17"/>
      <c r="F34" s="17"/>
      <c r="G34" s="17"/>
    </row>
    <row r="35" spans="1:7">
      <c r="B35" s="19" t="s">
        <v>65</v>
      </c>
      <c r="C35" s="30" cm="1">
        <f t="array" aca="1" ref="C35" ca="1">INDIRECT("G" &amp; C23)</f>
        <v>120.11</v>
      </c>
      <c r="D35" s="21" t="s">
        <v>66</v>
      </c>
    </row>
    <row r="36" spans="1:7">
      <c r="B36" s="19" t="s">
        <v>67</v>
      </c>
      <c r="C36" s="20" cm="1">
        <f t="array" aca="1" ref="C36" ca="1">INDIRECT("H" &amp; C23)</f>
        <v>0</v>
      </c>
      <c r="D36" s="21" t="s">
        <v>66</v>
      </c>
    </row>
    <row r="37" spans="1:7">
      <c r="B37" s="19"/>
      <c r="C37" s="20"/>
      <c r="D37" s="21"/>
    </row>
    <row r="38" spans="1:7" ht="15.6">
      <c r="A38" s="16" t="s">
        <v>68</v>
      </c>
      <c r="B38" s="23"/>
      <c r="C38" s="17"/>
      <c r="D38" s="24"/>
      <c r="E38" s="17"/>
      <c r="F38" s="17"/>
      <c r="G38" s="17"/>
    </row>
    <row r="39" spans="1:7">
      <c r="B39" s="19" t="s">
        <v>69</v>
      </c>
      <c r="C39" s="20" cm="1">
        <f t="array" aca="1" ref="C39" ca="1">INDIRECT("J" &amp; C23)</f>
        <v>25</v>
      </c>
      <c r="D39" s="21" t="s">
        <v>70</v>
      </c>
    </row>
    <row r="40" spans="1:7">
      <c r="B40" s="27" t="s">
        <v>71</v>
      </c>
      <c r="C40" s="20" cm="1">
        <f t="array" aca="1" ref="C40" ca="1">INDIRECT("K" &amp; C23)</f>
        <v>1.5</v>
      </c>
      <c r="D40" s="21"/>
    </row>
    <row r="41" spans="1:7">
      <c r="B41" s="19" t="s">
        <v>72</v>
      </c>
      <c r="C41" s="20" cm="1">
        <f t="array" aca="1" ref="C41" ca="1">INDIRECT("L" &amp; C23)</f>
        <v>500</v>
      </c>
      <c r="D41" s="21" t="s">
        <v>70</v>
      </c>
    </row>
    <row r="42" spans="1:7">
      <c r="B42" s="27" t="s">
        <v>73</v>
      </c>
      <c r="C42" s="20" cm="1">
        <f t="array" aca="1" ref="C42" ca="1">INDIRECT("M" &amp; C23)</f>
        <v>1.1499999999999999</v>
      </c>
      <c r="D42" s="21"/>
    </row>
    <row r="43" spans="1:7">
      <c r="B43" s="19"/>
      <c r="D43" s="21"/>
    </row>
    <row r="44" spans="1:7" ht="15.6">
      <c r="A44" s="16" t="s">
        <v>74</v>
      </c>
      <c r="B44" s="23"/>
      <c r="C44" s="17"/>
      <c r="D44" s="24"/>
      <c r="E44" s="17"/>
      <c r="F44" s="17"/>
      <c r="G44" s="17"/>
    </row>
    <row r="45" spans="1:7">
      <c r="B45" s="26" t="s">
        <v>75</v>
      </c>
      <c r="C45" s="20" cm="1">
        <f t="array" aca="1" ref="C45" ca="1">INDIRECT("N" &amp; C23)</f>
        <v>90</v>
      </c>
      <c r="D45" s="21" t="s">
        <v>76</v>
      </c>
    </row>
    <row r="46" spans="1:7">
      <c r="B46" s="26"/>
      <c r="D46" s="21"/>
    </row>
    <row r="47" spans="1:7" ht="15.6">
      <c r="A47" s="16" t="s">
        <v>77</v>
      </c>
      <c r="B47" s="23"/>
      <c r="C47" s="17"/>
      <c r="D47" s="24"/>
      <c r="E47" s="17"/>
      <c r="F47" s="17"/>
      <c r="G47" s="17"/>
    </row>
    <row r="48" spans="1:7">
      <c r="B48" s="25" t="s">
        <v>78</v>
      </c>
      <c r="C48" s="30" cm="1">
        <f t="array" aca="1" ref="C48" ca="1">INDIRECT("P" &amp; C23)</f>
        <v>45.536768427131378</v>
      </c>
      <c r="D48" s="21" t="s">
        <v>70</v>
      </c>
    </row>
    <row r="49" spans="1:7">
      <c r="B49" s="25" t="s">
        <v>79</v>
      </c>
      <c r="C49" s="30" cm="1">
        <f t="array" aca="1" ref="C49" ca="1">INDIRECT("Q" &amp; C23)</f>
        <v>343.5517241379311</v>
      </c>
      <c r="D49" s="21" t="s">
        <v>70</v>
      </c>
    </row>
    <row r="50" spans="1:7">
      <c r="B50" s="19"/>
      <c r="D50" s="21"/>
    </row>
    <row r="51" spans="1:7" ht="15.6">
      <c r="A51" s="16" t="s">
        <v>80</v>
      </c>
      <c r="B51" s="23"/>
      <c r="C51" s="17"/>
      <c r="D51" s="24"/>
      <c r="E51" s="17"/>
      <c r="F51" s="17"/>
      <c r="G51" s="17"/>
    </row>
    <row r="52" spans="1:7">
      <c r="B52" s="28" t="s">
        <v>81</v>
      </c>
      <c r="C52" s="30" cm="1">
        <f t="array" aca="1" ref="C52" ca="1">INDIRECT("R" &amp; C23)</f>
        <v>2.4955103884372174</v>
      </c>
      <c r="D52" s="21" t="s">
        <v>82</v>
      </c>
    </row>
    <row r="53" spans="1:7">
      <c r="B53" s="28" t="s">
        <v>83</v>
      </c>
      <c r="C53" s="30" cm="1">
        <f t="array" aca="1" ref="C53" ca="1">INDIRECT("S" &amp; C23)</f>
        <v>2</v>
      </c>
      <c r="D53" s="21" t="s">
        <v>82</v>
      </c>
    </row>
    <row r="54" spans="1:7">
      <c r="B54" s="19"/>
      <c r="D54" s="21"/>
    </row>
    <row r="55" spans="1:7" ht="15.6">
      <c r="A55" s="29"/>
      <c r="B55" s="19"/>
      <c r="D55" s="21"/>
    </row>
    <row r="56" spans="1:7">
      <c r="B56" s="25"/>
      <c r="C56" s="20"/>
      <c r="D56" s="21"/>
    </row>
  </sheetData>
  <mergeCells count="5">
    <mergeCell ref="B14:B15"/>
    <mergeCell ref="C14:C15"/>
    <mergeCell ref="K14:K15"/>
    <mergeCell ref="M14:M15"/>
    <mergeCell ref="B25:E25"/>
  </mergeCells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4b34c0b-a238-445f-9e2e-d55fac2c8e2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B6BF639CA98E4480C29BDFD84B8664" ma:contentTypeVersion="13" ma:contentTypeDescription="Crée un document." ma:contentTypeScope="" ma:versionID="c2b8b422b76ad2d62d26c24fd1784aad">
  <xsd:schema xmlns:xsd="http://www.w3.org/2001/XMLSchema" xmlns:xs="http://www.w3.org/2001/XMLSchema" xmlns:p="http://schemas.microsoft.com/office/2006/metadata/properties" xmlns:ns3="d4b34c0b-a238-445f-9e2e-d55fac2c8e27" xmlns:ns4="43bf2ace-90e3-4807-95fd-0160569dbf4d" targetNamespace="http://schemas.microsoft.com/office/2006/metadata/properties" ma:root="true" ma:fieldsID="87b3f7b819caecf7bb71066f40060b00" ns3:_="" ns4:_="">
    <xsd:import namespace="d4b34c0b-a238-445f-9e2e-d55fac2c8e27"/>
    <xsd:import namespace="43bf2ace-90e3-4807-95fd-0160569dbf4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b34c0b-a238-445f-9e2e-d55fac2c8e27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bf2ace-90e3-4807-95fd-0160569dbf4d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CA7CDA-7DA9-4BF6-9F24-0519CC0C02E1}"/>
</file>

<file path=customXml/itemProps2.xml><?xml version="1.0" encoding="utf-8"?>
<ds:datastoreItem xmlns:ds="http://schemas.openxmlformats.org/officeDocument/2006/customXml" ds:itemID="{1946D6ED-EB86-4A04-B29F-FA67F152B19D}"/>
</file>

<file path=customXml/itemProps3.xml><?xml version="1.0" encoding="utf-8"?>
<ds:datastoreItem xmlns:ds="http://schemas.openxmlformats.org/officeDocument/2006/customXml" ds:itemID="{40746602-FD2E-424A-A59D-CCABBE0C68C0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ArteliaGroup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LOYSEL Arthur</dc:creator>
  <cp:keywords/>
  <dc:description/>
  <cp:lastModifiedBy>LOYSEL Arthur</cp:lastModifiedBy>
  <cp:revision/>
  <dcterms:created xsi:type="dcterms:W3CDTF">2024-08-12T13:32:38Z</dcterms:created>
  <dcterms:modified xsi:type="dcterms:W3CDTF">2024-10-25T04:05:25Z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0x01010079B6BF639CA98E4480C29BDFD84B8664</vt:lpwstr>
  </property>
</Properties>
</file>