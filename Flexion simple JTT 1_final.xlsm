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221" codeName="{00000000-0000-0000-0000-000000000000}"/>
  <workbookPr codeName="ThisWorkbook" defaultThemeVersion="124226"/>
  <mc:AlternateContent xmlns:mc="http://schemas.openxmlformats.org/markup-compatibility/2006">
    <mc:Choice Requires="x15">
      <x15ac:absPath xmlns:x15ac="http://schemas.microsoft.com/office/spreadsheetml/2010/11/ac" url="C:\Stage_2A\standardisation_artelia\Notice\Flexion\Poutre\"/>
    </mc:Choice>
  </mc:AlternateContent>
  <xr:revisionPtr revIDLastSave="2" documentId="13_ncr:1_{B692F5CA-30E7-4CD2-BC99-F1159CC3253A}" xr6:coauthVersionLast="47" xr6:coauthVersionMax="47" xr10:uidLastSave="{9134EC0D-785F-40F1-A4C5-6AC230F77BB8}"/>
  <bookViews>
    <workbookView xWindow="-120" yWindow="-16320" windowWidth="29040" windowHeight="15840" firstSheet="2" activeTab="7" xr2:uid="{00000000-000D-0000-FFFF-FFFF00000000}"/>
  </bookViews>
  <sheets>
    <sheet name="Suivi des modifications" sheetId="13" r:id="rId1"/>
    <sheet name="Manuel d'utilisation" sheetId="4" r:id="rId2"/>
    <sheet name="Données" sheetId="1" r:id="rId3"/>
    <sheet name="Résultats" sheetId="12" r:id="rId4"/>
    <sheet name="Outils" sheetId="2" r:id="rId5"/>
    <sheet name="Dimensionnement ELU, travée" sheetId="11" r:id="rId6"/>
    <sheet name="Dimensionnement ELU, appui" sheetId="14" r:id="rId7"/>
    <sheet name="Vérification ELS" sheetId="8" r:id="rId8"/>
  </sheets>
  <definedNames>
    <definedName name="Ac">Outils!$D$13</definedName>
    <definedName name="AcComprimésa">'Dimensionnement ELU, appui'!$H$14</definedName>
    <definedName name="AcComprimést">'Dimensionnement ELU, travée'!$H$14</definedName>
    <definedName name="Aceff" localSheetId="7">'Vérification ELS'!$O$5</definedName>
    <definedName name="Ach" localSheetId="7">'Vérification ELS'!$D$4</definedName>
    <definedName name="ah" localSheetId="7">'Vérification ELS'!$D$18</definedName>
    <definedName name="alpha1" localSheetId="5">'Dimensionnement ELU, travée'!$H$9</definedName>
    <definedName name="alpha1">'Dimensionnement ELU, appui'!$H$9</definedName>
    <definedName name="alpha1l" localSheetId="5">'Dimensionnement ELU, travée'!$O$17</definedName>
    <definedName name="alpha1l">'Dimensionnement ELU, appui'!$O$17</definedName>
    <definedName name="alphaAB" localSheetId="5">'Dimensionnement ELU, travée'!$D$23</definedName>
    <definedName name="alphaAB">'Dimensionnement ELU, appui'!$D$23</definedName>
    <definedName name="alphacc">Outils!$D$21</definedName>
    <definedName name="alphae">Données!$E$47</definedName>
    <definedName name="alphaect">Outils!$E$52</definedName>
    <definedName name="alphau" localSheetId="5">'Dimensionnement ELU, travée'!$D$22</definedName>
    <definedName name="alphau">'Dimensionnement ELU, appui'!$D$22</definedName>
    <definedName name="amin">Outils!$D$59</definedName>
    <definedName name="As1R">Résultats!$E$36</definedName>
    <definedName name="As1u_test_a">'Dimensionnement ELU, appui'!$D$33</definedName>
    <definedName name="As1u_test_t">'Dimensionnement ELU, travée'!$D$33</definedName>
    <definedName name="As2a">'Dimensionnement ELU, appui'!$D$18</definedName>
    <definedName name="As2R">Résultats!$E$40</definedName>
    <definedName name="As2t">'Dimensionnement ELU, travée'!$D$18</definedName>
    <definedName name="Asmax">Outils!$D$15</definedName>
    <definedName name="Asmin">Outils!$D$14</definedName>
    <definedName name="bé" localSheetId="7">'Vérification ELS'!$D$19</definedName>
    <definedName name="beff">Outils!$D$16</definedName>
    <definedName name="beffdonné">Données!$E$34</definedName>
    <definedName name="befffin" localSheetId="7">'Vérification ELS'!$D$16</definedName>
    <definedName name="bw">Données!$E$33</definedName>
    <definedName name="bwfin" localSheetId="6">'Dimensionnement ELU, appui'!$D$9</definedName>
    <definedName name="bwfin" localSheetId="5">'Dimensionnement ELU, travée'!$D$9</definedName>
    <definedName name="bwfin" localSheetId="2">'Dimensionnement ELU, travée'!$D$9</definedName>
    <definedName name="bwfin" localSheetId="7">'Vérification ELS'!$D$15</definedName>
    <definedName name="cé" localSheetId="7">'Vérification ELS'!$D$20</definedName>
    <definedName name="Choix_wkmax">Outils!$X$1:$X$3</definedName>
    <definedName name="choixalphae">Outils!$AD$1:$AD$2</definedName>
    <definedName name="Chx_nbr_lits">Outils!$V$1:$V$3</definedName>
    <definedName name="ChxAs2user">Données!$E$44</definedName>
    <definedName name="ChxClassestructurale">Outils!$AG$1:$AG$6</definedName>
    <definedName name="ChxCombiELU">Données!$E$16</definedName>
    <definedName name="ChxElement">Outils!$T$1:$T$4</definedName>
    <definedName name="ChxForçagefiss">Résultats!$E$50</definedName>
    <definedName name="Chxfyk">Outils!$AH$1:$AH$2</definedName>
    <definedName name="ChxOuvrage">Outils!$W$1:$W$2</definedName>
    <definedName name="Chxwkmax">Résultats!$E$44</definedName>
    <definedName name="Classe">Données!$E$43</definedName>
    <definedName name="Classe_expo_wmax">'Vérification ELS'!$V$12:$V$14</definedName>
    <definedName name="Clductil">Outils!$AB$1:$AB$3</definedName>
    <definedName name="cnom">Données!$E$31</definedName>
    <definedName name="CombiELS">Outils!$Y$1:$Y$2</definedName>
    <definedName name="CombiELU">Outils!$Z$1:$Z$3</definedName>
    <definedName name="d">Données!$E$30</definedName>
    <definedName name="delta" localSheetId="7">'Vérification ELS'!$D$21</definedName>
    <definedName name="deltap">Outils!$D$12</definedName>
    <definedName name="dG">Outils!$D$55</definedName>
    <definedName name="diffeps" localSheetId="7">'Vérification ELS'!$O$15</definedName>
    <definedName name="donnée">Données!$E$46</definedName>
    <definedName name="dp">Données!$E$32</definedName>
    <definedName name="Ecm">Outils!$D$30</definedName>
    <definedName name="epscu2">Outils!$D$33</definedName>
    <definedName name="epss1" localSheetId="5">'Dimensionnement ELU, travée'!$D$28</definedName>
    <definedName name="epss1">'Dimensionnement ELU, appui'!$D$28</definedName>
    <definedName name="epss2u" localSheetId="5">'Dimensionnement ELU, travée'!$I$17</definedName>
    <definedName name="epss2u">'Dimensionnement ELU, appui'!$I$17</definedName>
    <definedName name="epsud">Outils!$D$41</definedName>
    <definedName name="epsuk">Outils!$D$40</definedName>
    <definedName name="epsyd">Outils!$D$39</definedName>
    <definedName name="Es">Outils!$D$36</definedName>
    <definedName name="espacement">Résultats!$E$41</definedName>
    <definedName name="eta">Outils!$D$24</definedName>
    <definedName name="expo">Outils!$AC$1:$AC$9</definedName>
    <definedName name="expocmindur">Outils!$D$9</definedName>
    <definedName name="exposigmacbarre">Outils!$D$7</definedName>
    <definedName name="Exposition">Données!$E$17</definedName>
    <definedName name="expow">Outils!$D$8</definedName>
    <definedName name="fcd">Outils!$D$26</definedName>
    <definedName name="fck">Données!$E$39</definedName>
    <definedName name="fcm">Outils!$D$25</definedName>
    <definedName name="fcteff">Outils!$D$29</definedName>
    <definedName name="fctm">Outils!$D$28</definedName>
    <definedName name="fcu">Outils!$D$27</definedName>
    <definedName name="fhf" localSheetId="7">'Vérification ELS'!$D$13</definedName>
    <definedName name="Fissuration?">Outils!$AF$1:$AF$2</definedName>
    <definedName name="fyd">Outils!$D$38</definedName>
    <definedName name="fyk">Données!$E$41</definedName>
    <definedName name="gamma_a">Outils!$D$5</definedName>
    <definedName name="gamma_t">Outils!$D$4</definedName>
    <definedName name="gammac">Outils!$D$22</definedName>
    <definedName name="gammas">Outils!$D$37</definedName>
    <definedName name="h">Données!$E$29</definedName>
    <definedName name="hcef" localSheetId="7">'Vérification ELS'!$O$4</definedName>
    <definedName name="hf">Outils!$D$17</definedName>
    <definedName name="hfdonné">Données!$E$35</definedName>
    <definedName name="Icf" localSheetId="7">'Vérification ELS'!$D$24</definedName>
    <definedName name="Ich" localSheetId="7">'Vérification ELS'!$D$7</definedName>
    <definedName name="K" localSheetId="7">'Vérification ELS'!$D$25</definedName>
    <definedName name="k_1" localSheetId="7">'Vérification ELS'!$O$7</definedName>
    <definedName name="k_2" localSheetId="7">'Vérification ELS'!$O$8</definedName>
    <definedName name="k_3" localSheetId="7">'Vérification ELS'!$O$9</definedName>
    <definedName name="k_4" localSheetId="7">'Vérification ELS'!$O$10</definedName>
    <definedName name="k_deux">Outils!$D$58</definedName>
    <definedName name="k_un">Outils!$D$57</definedName>
    <definedName name="kdeux">Outils!$D$32</definedName>
    <definedName name="ksteel">Outils!$D$42</definedName>
    <definedName name="kt" localSheetId="7">'Vérification ELS'!$O$11</definedName>
    <definedName name="ktrois">Outils!$D$43</definedName>
    <definedName name="kun">Outils!$D$31</definedName>
    <definedName name="lambda">Outils!$D$23</definedName>
    <definedName name="M_ELS_app">Données!$E$24</definedName>
    <definedName name="M_ELS_trav">Données!$E$25</definedName>
    <definedName name="M_ELUappuis">Données!$E$23</definedName>
    <definedName name="M_ELUff" localSheetId="5">'Dimensionnement ELU, travée'!$D$20</definedName>
    <definedName name="M_ELUff">'Dimensionnement ELU, appui'!$D$20</definedName>
    <definedName name="M_ELUfin" localSheetId="5">'Dimensionnement ELU, travée'!$D$11</definedName>
    <definedName name="M_ELUfin">'Dimensionnement ELU, appui'!$D$11</definedName>
    <definedName name="M_ELUtravee">Données!$E$22</definedName>
    <definedName name="M_ELUun" localSheetId="5">'Dimensionnement ELU, travée'!$D$10</definedName>
    <definedName name="M_ELUun">'Dimensionnement ELU, appui'!$D$10</definedName>
    <definedName name="Maitrisedelafissuration">Données!$E$18</definedName>
    <definedName name="Mlu" localSheetId="6">'Dimensionnement ELU, appui'!$H$12</definedName>
    <definedName name="Mlu" localSheetId="5">'Dimensionnement ELU, travée'!$H$12</definedName>
    <definedName name="Mlu" localSheetId="2">'Dimensionnement ELU, travée'!$H$12</definedName>
    <definedName name="Mtu" localSheetId="5">'Dimensionnement ELU, travée'!$D$8</definedName>
    <definedName name="Mtu">'Dimensionnement ELU, appui'!$D$8</definedName>
    <definedName name="mu_ELS">Outils!$D$3</definedName>
    <definedName name="muAB" localSheetId="5">'Dimensionnement ELU, travée'!$D$24</definedName>
    <definedName name="muAB">'Dimensionnement ELU, appui'!$D$24</definedName>
    <definedName name="mucu" localSheetId="5">'Dimensionnement ELU, travée'!$D$12</definedName>
    <definedName name="mucu">'Dimensionnement ELU, appui'!$D$12</definedName>
    <definedName name="mucufin" localSheetId="5">'Dimensionnement ELU, travée'!$D$19</definedName>
    <definedName name="mucufin">'Dimensionnement ELU, appui'!$D$19</definedName>
    <definedName name="muls" localSheetId="5">'Dimensionnement ELU, travée'!$H$10</definedName>
    <definedName name="muls">'Dimensionnement ELU, appui'!$H$10</definedName>
    <definedName name="mulu" localSheetId="6">'Dimensionnement ELU, appui'!$H$11</definedName>
    <definedName name="mulu">'Dimensionnement ELU, travée'!$H$11</definedName>
    <definedName name="n_1">Résultats!$E$30</definedName>
    <definedName name="n_2">Résultats!$E$32</definedName>
    <definedName name="n_21">Résultats!$E$38</definedName>
    <definedName name="n_3">Résultats!$E$34</definedName>
    <definedName name="Nbr_lits">Résultats!$E$29</definedName>
    <definedName name="OuiNon">Outils!$AE$1:$AE$2</definedName>
    <definedName name="palier">Outils!$D$49</definedName>
    <definedName name="ParamètresDiagrammeS">Outils!$G$35:$I$37</definedName>
    <definedName name="phi_1">Résultats!$E$31</definedName>
    <definedName name="phi_2">Résultats!$E$33</definedName>
    <definedName name="phi_21">Résultats!$E$39</definedName>
    <definedName name="phi_3">Résultats!$E$35</definedName>
    <definedName name="phieq">Outils!$D$50</definedName>
    <definedName name="phimax">Outils!$D$56</definedName>
    <definedName name="pivot" localSheetId="5">'Dimensionnement ELU, travée'!$C$26</definedName>
    <definedName name="pivot">'Dimensionnement ELU, appui'!$C$26</definedName>
    <definedName name="rhoPeff">'Vérification ELS'!$O$6</definedName>
    <definedName name="Sect">Outils!$AA$1:$AA$2</definedName>
    <definedName name="SectELS" localSheetId="7">'Vérification ELS'!$C$9</definedName>
    <definedName name="SectELSfin" localSheetId="7">'Vérification ELS'!$D$10</definedName>
    <definedName name="Section">Données!$E$28</definedName>
    <definedName name="Segment1" localSheetId="6">'Dimensionnement ELU, appui'!$E$29</definedName>
    <definedName name="Segment1" localSheetId="5">'Dimensionnement ELU, travée'!$E$29</definedName>
    <definedName name="Segment1" localSheetId="2">'Dimensionnement ELU, travée'!$E$29</definedName>
    <definedName name="Segment2u" localSheetId="5">'Dimensionnement ELU, travée'!$J$18</definedName>
    <definedName name="Segment2u">'Dimensionnement ELU, appui'!$J$18</definedName>
    <definedName name="sigmac">'Vérification ELS'!$E$31</definedName>
    <definedName name="sigmacbarreELU" localSheetId="5">'Dimensionnement ELU, travée'!$D$5</definedName>
    <definedName name="sigmacbarreELU">'Dimensionnement ELU, appui'!$D$5</definedName>
    <definedName name="sigmacfiss" localSheetId="7">'Vérification ELS'!$D$27</definedName>
    <definedName name="sigmacnfiss" localSheetId="7">'Vérification ELS'!$I$13</definedName>
    <definedName name="sigmact" localSheetId="7">'Vérification ELS'!$D$8</definedName>
    <definedName name="sigmas1" localSheetId="5">'Dimensionnement ELU, travée'!$D$30</definedName>
    <definedName name="sigmas1">'Vérification ELS'!$E$33</definedName>
    <definedName name="sigmas1e" localSheetId="5">'Dimensionnement ELU, travée'!$D$17</definedName>
    <definedName name="sigmas1e">'Dimensionnement ELU, appui'!$D$17</definedName>
    <definedName name="sigmas1fiss" localSheetId="7">'Vérification ELS'!$D$29</definedName>
    <definedName name="sigmas1lim">Outils!$D$45</definedName>
    <definedName name="sigmas1nfiss" localSheetId="7">'Vérification ELS'!$I$15</definedName>
    <definedName name="sigmas1ser" localSheetId="5">'Dimensionnement ELU, travée'!$O$21</definedName>
    <definedName name="sigmas1ser">'Dimensionnement ELU, appui'!$O$21</definedName>
    <definedName name="sigmas2">'Vérification ELS'!$E$32</definedName>
    <definedName name="sigmas2e" localSheetId="5">'Dimensionnement ELU, travée'!$D$16</definedName>
    <definedName name="sigmas2e">'Dimensionnement ELU, appui'!$D$16</definedName>
    <definedName name="sigmas2fiss" localSheetId="7">'Vérification ELS'!$D$28</definedName>
    <definedName name="sigmas2nfiss" localSheetId="7">'Vérification ELS'!$I$14</definedName>
    <definedName name="sigmas2ser" localSheetId="5">'Dimensionnement ELU, travée'!$O$19</definedName>
    <definedName name="sigmas2ser">'Dimensionnement ELU, appui'!$O$19</definedName>
    <definedName name="sigmas2u" localSheetId="6">'Dimensionnement ELU, appui'!$I$19</definedName>
    <definedName name="sigmas2u" localSheetId="5">'Dimensionnement ELU, travée'!$I$19</definedName>
    <definedName name="sigmas2u" localSheetId="2">'Dimensionnement ELU, travée'!$I$19</definedName>
    <definedName name="sigmasb">Outils!$D$44</definedName>
    <definedName name="Signefhf" localSheetId="7">'Vérification ELS'!$C$14</definedName>
    <definedName name="srmax" localSheetId="7">'Vérification ELS'!$O$14</definedName>
    <definedName name="t">Outils!$D$47</definedName>
    <definedName name="Tableau_wmax">'Vérification ELS'!$M$19:$R$22</definedName>
    <definedName name="u">Outils!$D$48</definedName>
    <definedName name="v" localSheetId="7">'Vérification ELS'!$D$6</definedName>
    <definedName name="vp" localSheetId="7">'Vérification ELS'!$D$5</definedName>
    <definedName name="wk">'Vérification ELS'!$O$17</definedName>
    <definedName name="wkmax">'Vérification ELS'!$S$17</definedName>
    <definedName name="wkmaxdonné">Résultats!$E$45</definedName>
    <definedName name="xun">'Vérification ELS'!$D$22</definedName>
    <definedName name="zc_a">'Dimensionnement ELU, appui'!$D$32</definedName>
    <definedName name="zc_t">'Dimensionnement ELU, travée'!$D$32</definedName>
    <definedName name="_xlnm.Print_Area" localSheetId="2">Données!$B$7:$H$49</definedName>
    <definedName name="_xlnm.Print_Area" localSheetId="4">Outils!$B$54:$E$54</definedName>
    <definedName name="_xlnm.Print_Area" localSheetId="3">Résultats!$B$5:$K$60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2" l="1"/>
  <c r="D50" i="2"/>
  <c r="U18" i="14"/>
  <c r="U17" i="14"/>
  <c r="U16" i="14"/>
  <c r="U7" i="14"/>
  <c r="U6" i="14"/>
  <c r="U5" i="14"/>
  <c r="D5" i="14"/>
  <c r="O9" i="8"/>
  <c r="D22" i="2"/>
  <c r="U18" i="11" l="1"/>
  <c r="U17" i="11"/>
  <c r="U16" i="11"/>
  <c r="U7" i="11"/>
  <c r="U6" i="11"/>
  <c r="U5" i="11"/>
  <c r="D5" i="11" l="1"/>
  <c r="D17" i="2" l="1"/>
  <c r="D16" i="2"/>
  <c r="D8" i="14" l="1"/>
  <c r="D9" i="14" s="1"/>
  <c r="E36" i="12"/>
  <c r="D10" i="14" l="1"/>
  <c r="D11" i="14" s="1"/>
  <c r="D46" i="1"/>
  <c r="D55" i="2" l="1"/>
  <c r="D56" i="2"/>
  <c r="D59" i="2" l="1"/>
  <c r="H52" i="12"/>
  <c r="E40" i="12" l="1"/>
  <c r="B46" i="1" l="1"/>
  <c r="O8" i="8" l="1"/>
  <c r="D49" i="2"/>
  <c r="D40" i="2" s="1"/>
  <c r="D44" i="2"/>
  <c r="H54" i="12" s="1"/>
  <c r="D42" i="2"/>
  <c r="D37" i="2"/>
  <c r="D38" i="2" s="1"/>
  <c r="D33" i="2"/>
  <c r="D25" i="2"/>
  <c r="D28" i="2" s="1"/>
  <c r="D24" i="2"/>
  <c r="D23" i="2"/>
  <c r="D26" i="2"/>
  <c r="D12" i="2"/>
  <c r="D9" i="2"/>
  <c r="D8" i="2"/>
  <c r="D7" i="2"/>
  <c r="T1" i="14"/>
  <c r="D4" i="2"/>
  <c r="U2" i="2"/>
  <c r="T1" i="11" l="1"/>
  <c r="U1" i="11" s="1"/>
  <c r="T9" i="11" s="1"/>
  <c r="U1" i="14"/>
  <c r="D29" i="2"/>
  <c r="D14" i="2"/>
  <c r="H53" i="12"/>
  <c r="S17" i="8"/>
  <c r="E46" i="12" s="1"/>
  <c r="D47" i="2"/>
  <c r="D13" i="2"/>
  <c r="D15" i="2" s="1"/>
  <c r="K16" i="12" s="1"/>
  <c r="E43" i="12"/>
  <c r="E42" i="12"/>
  <c r="D30" i="2"/>
  <c r="D48" i="2"/>
  <c r="D27" i="2"/>
  <c r="D39" i="2"/>
  <c r="D41" i="2"/>
  <c r="D23" i="14" s="1"/>
  <c r="D24" i="14" s="1"/>
  <c r="D16" i="8"/>
  <c r="D3" i="2"/>
  <c r="D12" i="14" l="1"/>
  <c r="H9" i="11"/>
  <c r="U26" i="11" s="1"/>
  <c r="H10" i="11" s="1"/>
  <c r="H9" i="14"/>
  <c r="T9" i="14"/>
  <c r="T20" i="14"/>
  <c r="E47" i="1"/>
  <c r="E52" i="2"/>
  <c r="D8" i="11"/>
  <c r="D10" i="11" s="1"/>
  <c r="D11" i="11" s="1"/>
  <c r="G58" i="12"/>
  <c r="T20" i="11"/>
  <c r="D23" i="11"/>
  <c r="D24" i="11" s="1"/>
  <c r="I17" i="11"/>
  <c r="J18" i="11" s="1"/>
  <c r="I19" i="11" s="1"/>
  <c r="C24" i="12"/>
  <c r="C16" i="12"/>
  <c r="D45" i="2"/>
  <c r="K24" i="12"/>
  <c r="U26" i="14" l="1"/>
  <c r="I17" i="14"/>
  <c r="J18" i="14" s="1"/>
  <c r="I19" i="14" s="1"/>
  <c r="C26" i="14"/>
  <c r="U4" i="11"/>
  <c r="U12" i="11" s="1"/>
  <c r="U15" i="14"/>
  <c r="U23" i="14" s="1"/>
  <c r="U4" i="14"/>
  <c r="U12" i="14" s="1"/>
  <c r="U29" i="14" s="1"/>
  <c r="U15" i="11"/>
  <c r="U23" i="11" s="1"/>
  <c r="D4" i="8"/>
  <c r="D5" i="8" s="1"/>
  <c r="D9" i="11"/>
  <c r="D12" i="11" s="1"/>
  <c r="C26" i="11" s="1"/>
  <c r="D13" i="8"/>
  <c r="C14" i="8" s="1"/>
  <c r="D15" i="8" s="1"/>
  <c r="U29" i="11" l="1"/>
  <c r="H10" i="14"/>
  <c r="H11" i="14"/>
  <c r="H11" i="11"/>
  <c r="O17" i="11" s="1"/>
  <c r="D7" i="8"/>
  <c r="I13" i="8" s="1"/>
  <c r="D20" i="8"/>
  <c r="D19" i="8"/>
  <c r="D18" i="8"/>
  <c r="O17" i="14" l="1"/>
  <c r="M17" i="14"/>
  <c r="H12" i="14"/>
  <c r="C14" i="14"/>
  <c r="H14" i="14" s="1"/>
  <c r="E21" i="12" s="1"/>
  <c r="H12" i="11"/>
  <c r="C14" i="11"/>
  <c r="H14" i="11" s="1"/>
  <c r="M17" i="11"/>
  <c r="D21" i="8"/>
  <c r="D22" i="8" s="1"/>
  <c r="D6" i="8"/>
  <c r="I15" i="8"/>
  <c r="I14" i="8"/>
  <c r="D17" i="14" l="1"/>
  <c r="D18" i="14" a="1"/>
  <c r="D18" i="14" s="1"/>
  <c r="D16" i="14"/>
  <c r="D19" i="14" a="1"/>
  <c r="D19" i="14" s="1"/>
  <c r="D22" i="14" s="1"/>
  <c r="D20" i="14" a="1"/>
  <c r="D20" i="14" s="1"/>
  <c r="M19" i="14"/>
  <c r="O21" i="14"/>
  <c r="O19" i="14"/>
  <c r="E13" i="12"/>
  <c r="D19" i="11"/>
  <c r="D22" i="11" s="1"/>
  <c r="D20" i="11"/>
  <c r="O21" i="11"/>
  <c r="M19" i="11"/>
  <c r="O19" i="11"/>
  <c r="D16" i="11" s="1"/>
  <c r="D18" i="11" s="1"/>
  <c r="E14" i="12" s="1"/>
  <c r="D8" i="8"/>
  <c r="C9" i="8" s="1"/>
  <c r="E51" i="12"/>
  <c r="O4" i="8"/>
  <c r="O5" i="8" s="1"/>
  <c r="O6" i="8" s="1"/>
  <c r="O14" i="8" s="1"/>
  <c r="D24" i="8"/>
  <c r="D25" i="8" s="1"/>
  <c r="D32" i="14" l="1"/>
  <c r="E20" i="12" s="1"/>
  <c r="D28" i="14"/>
  <c r="E29" i="14" s="1"/>
  <c r="D30" i="14" s="1"/>
  <c r="D28" i="11"/>
  <c r="E29" i="11" s="1"/>
  <c r="D30" i="11" s="1"/>
  <c r="I21" i="11" s="1"/>
  <c r="D32" i="11"/>
  <c r="E49" i="12"/>
  <c r="D10" i="8"/>
  <c r="D27" i="8"/>
  <c r="D29" i="8"/>
  <c r="D28" i="8"/>
  <c r="D33" i="14" l="1"/>
  <c r="D17" i="11"/>
  <c r="E33" i="8"/>
  <c r="E12" i="12"/>
  <c r="E32" i="8"/>
  <c r="D54" i="12" s="1"/>
  <c r="E54" i="12" s="1"/>
  <c r="E31" i="8"/>
  <c r="D52" i="12" s="1"/>
  <c r="E53" i="12" s="1"/>
  <c r="D55" i="12" l="1"/>
  <c r="E55" i="12" s="1"/>
  <c r="I21" i="14"/>
  <c r="O15" i="8"/>
  <c r="D33" i="11"/>
  <c r="I16" i="12" s="1"/>
  <c r="E52" i="12"/>
  <c r="F16" i="12" l="1"/>
  <c r="D16" i="12" s="1"/>
  <c r="E17" i="12" s="1"/>
  <c r="I24" i="12"/>
  <c r="B17" i="12"/>
  <c r="O17" i="8"/>
  <c r="C58" i="12" s="1"/>
  <c r="P17" i="8" l="1"/>
  <c r="E58" i="12"/>
  <c r="B25" i="12"/>
  <c r="F24" i="12"/>
  <c r="D24" i="12" s="1"/>
  <c r="E25" i="12" s="1"/>
  <c r="E2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THEBAULT Jerome</author>
  </authors>
  <commentList>
    <comment ref="E43" authorId="0" shapeId="0" xr:uid="{00000000-0006-0000-0200-000003000000}">
      <text>
        <r>
          <rPr>
            <b/>
            <sz val="9"/>
            <color indexed="81"/>
            <rFont val="Tahoma"/>
            <family val="2"/>
          </rPr>
          <t>THEBAULT Jerome:</t>
        </r>
        <r>
          <rPr>
            <sz val="9"/>
            <color indexed="81"/>
            <rFont val="Tahoma"/>
            <family val="2"/>
          </rPr>
          <t xml:space="preserve">
Les différentes classes de ductilité sont détaillées dans le tableau </t>
        </r>
        <r>
          <rPr>
            <i/>
            <sz val="9"/>
            <color indexed="81"/>
            <rFont val="Tahoma"/>
            <family val="2"/>
          </rPr>
          <t>Paramètres de ductilité</t>
        </r>
        <r>
          <rPr>
            <sz val="9"/>
            <color indexed="81"/>
            <rFont val="Tahoma"/>
            <family val="2"/>
          </rPr>
          <t xml:space="preserve"> de la feuille </t>
        </r>
        <r>
          <rPr>
            <i/>
            <sz val="9"/>
            <color indexed="81"/>
            <rFont val="Tahoma"/>
            <family val="2"/>
          </rPr>
          <t>Outils</t>
        </r>
        <r>
          <rPr>
            <sz val="9"/>
            <color indexed="81"/>
            <rFont val="Tahoma"/>
            <family val="2"/>
          </rPr>
          <t>, à côté de la section</t>
        </r>
        <r>
          <rPr>
            <i/>
            <sz val="9"/>
            <color indexed="81"/>
            <rFont val="Tahoma"/>
            <family val="2"/>
          </rPr>
          <t xml:space="preserve"> Acier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THEBAULT Jerome</author>
  </authors>
  <commentList>
    <comment ref="B41" authorId="0" shapeId="0" xr:uid="{00000000-0006-0000-0300-000001000000}">
      <text>
        <r>
          <rPr>
            <b/>
            <sz val="9"/>
            <color indexed="81"/>
            <rFont val="Tahoma"/>
            <family val="2"/>
          </rPr>
          <t>THEBAULT Jerome:</t>
        </r>
        <r>
          <rPr>
            <sz val="9"/>
            <color indexed="81"/>
            <rFont val="Tahoma"/>
            <family val="2"/>
          </rPr>
          <t xml:space="preserve">
Entraxe</t>
        </r>
      </text>
    </comment>
    <comment ref="E41" authorId="0" shapeId="0" xr:uid="{00000000-0006-0000-0300-000002000000}">
      <text>
        <r>
          <rPr>
            <b/>
            <sz val="9"/>
            <color indexed="81"/>
            <rFont val="Tahoma"/>
            <family val="2"/>
          </rPr>
          <t>THEBAULT Jerome:</t>
        </r>
        <r>
          <rPr>
            <sz val="9"/>
            <color indexed="81"/>
            <rFont val="Tahoma"/>
            <family val="2"/>
          </rPr>
          <t xml:space="preserve">
Peut être calculé grâce à la formule suivante : 
espacement = (b</t>
        </r>
        <r>
          <rPr>
            <vertAlign val="subscript"/>
            <sz val="9"/>
            <color indexed="81"/>
            <rFont val="Tahoma"/>
            <family val="2"/>
          </rPr>
          <t>w</t>
        </r>
        <r>
          <rPr>
            <sz val="9"/>
            <color indexed="81"/>
            <rFont val="Tahoma"/>
            <family val="2"/>
          </rPr>
          <t>-2c</t>
        </r>
        <r>
          <rPr>
            <vertAlign val="subscript"/>
            <sz val="9"/>
            <color indexed="81"/>
            <rFont val="Tahoma"/>
            <family val="2"/>
          </rPr>
          <t>nom</t>
        </r>
        <r>
          <rPr>
            <sz val="9"/>
            <color indexed="81"/>
            <rFont val="Tahoma"/>
            <family val="2"/>
          </rPr>
          <t>-n.</t>
        </r>
        <r>
          <rPr>
            <sz val="9"/>
            <color indexed="81"/>
            <rFont val="Calibri"/>
            <family val="2"/>
          </rPr>
          <t>φ) / (n-1)</t>
        </r>
      </text>
    </comment>
    <comment ref="E42" authorId="0" shapeId="0" xr:uid="{00000000-0006-0000-0300-000003000000}">
      <text>
        <r>
          <rPr>
            <b/>
            <sz val="9"/>
            <color indexed="81"/>
            <rFont val="Tahoma"/>
            <family val="2"/>
          </rPr>
          <t>THEBAULT Jerome:</t>
        </r>
        <r>
          <rPr>
            <sz val="9"/>
            <color indexed="81"/>
            <rFont val="Tahoma"/>
            <family val="2"/>
          </rPr>
          <t xml:space="preserve">
Les paramètres de calcul de l'espacement minimal peuvent être modifiés dans la section </t>
        </r>
        <r>
          <rPr>
            <i/>
            <sz val="9"/>
            <color indexed="81"/>
            <rFont val="Tahoma"/>
            <family val="2"/>
          </rPr>
          <t>Espacement</t>
        </r>
        <r>
          <rPr>
            <sz val="9"/>
            <color indexed="81"/>
            <rFont val="Tahoma"/>
            <family val="2"/>
          </rPr>
          <t xml:space="preserve"> de la feuille </t>
        </r>
        <r>
          <rPr>
            <i/>
            <sz val="9"/>
            <color indexed="81"/>
            <rFont val="Tahoma"/>
            <family val="2"/>
          </rPr>
          <t>Outils</t>
        </r>
      </text>
    </comment>
    <comment ref="E46" authorId="0" shapeId="0" xr:uid="{00000000-0006-0000-0300-000004000000}">
      <text>
        <r>
          <rPr>
            <b/>
            <sz val="9"/>
            <color indexed="81"/>
            <rFont val="Tahoma"/>
            <family val="2"/>
          </rPr>
          <t>THEBAULT Jerome:</t>
        </r>
        <r>
          <rPr>
            <sz val="9"/>
            <color indexed="81"/>
            <rFont val="Tahoma"/>
            <family val="2"/>
          </rPr>
          <t xml:space="preserve">
Les valeurs spécifiées par l'EC2 et l'Annexe Nationale sont accesibles dans l'onglet </t>
        </r>
        <r>
          <rPr>
            <i/>
            <sz val="9"/>
            <color indexed="81"/>
            <rFont val="Tahoma"/>
            <family val="2"/>
          </rPr>
          <t>Vérification ELS</t>
        </r>
        <r>
          <rPr>
            <sz val="9"/>
            <color indexed="81"/>
            <rFont val="Tahoma"/>
            <family val="2"/>
          </rPr>
          <t xml:space="preserve">, section </t>
        </r>
        <r>
          <rPr>
            <i/>
            <sz val="9"/>
            <color indexed="81"/>
            <rFont val="Tahoma"/>
            <family val="2"/>
          </rPr>
          <t xml:space="preserve">Ouverture de fissures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THEBAULT Jerome</author>
  </authors>
  <commentList>
    <comment ref="D31" authorId="0" shapeId="0" xr:uid="{00000000-0006-0000-0400-000001000000}">
      <text>
        <r>
          <rPr>
            <b/>
            <sz val="9"/>
            <color indexed="81"/>
            <rFont val="Tahoma"/>
            <family val="2"/>
          </rPr>
          <t>THEBAULT Jerome:</t>
        </r>
        <r>
          <rPr>
            <sz val="9"/>
            <color indexed="81"/>
            <rFont val="Tahoma"/>
            <family val="2"/>
          </rPr>
          <t xml:space="preserve">
Pour ELU et ELS caractéristique</t>
        </r>
      </text>
    </comment>
    <comment ref="D32" authorId="0" shapeId="0" xr:uid="{00000000-0006-0000-0400-000002000000}">
      <text>
        <r>
          <rPr>
            <b/>
            <sz val="9"/>
            <color indexed="81"/>
            <rFont val="Tahoma"/>
            <family val="2"/>
          </rPr>
          <t>THEBAULT Jerome:</t>
        </r>
        <r>
          <rPr>
            <sz val="9"/>
            <color indexed="81"/>
            <rFont val="Tahoma"/>
            <family val="2"/>
          </rPr>
          <t xml:space="preserve">
Pour ELS quasi-permanente</t>
        </r>
      </text>
    </comment>
    <comment ref="B52" authorId="0" shapeId="0" xr:uid="{00000000-0006-0000-0400-000003000000}">
      <text>
        <r>
          <rPr>
            <b/>
            <sz val="9"/>
            <color indexed="81"/>
            <rFont val="Tahoma"/>
            <family val="2"/>
          </rPr>
          <t>THEBAULT Jerome:</t>
        </r>
        <r>
          <rPr>
            <sz val="9"/>
            <color indexed="81"/>
            <rFont val="Tahoma"/>
            <family val="2"/>
          </rPr>
          <t xml:space="preserve">
Sert uniquement au calcul de l'ouverture de fissures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THEBAULT Jerome</author>
  </authors>
  <commentList>
    <comment ref="O7" authorId="0" shapeId="0" xr:uid="{00000000-0006-0000-0700-000001000000}">
      <text>
        <r>
          <rPr>
            <b/>
            <sz val="9"/>
            <color indexed="81"/>
            <rFont val="Tahoma"/>
            <family val="2"/>
          </rPr>
          <t>THEBAULT Jerome:</t>
        </r>
        <r>
          <rPr>
            <sz val="9"/>
            <color indexed="81"/>
            <rFont val="Tahoma"/>
            <family val="2"/>
          </rPr>
          <t xml:space="preserve">
pour HA, 1,6 si lisse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<sst xmlns="http://schemas.openxmlformats.org/spreadsheetml/2006/main" count="864" uniqueCount="480">
  <si>
    <t>SUIVI DES MODIFICATIONS</t>
  </si>
  <si>
    <t>Date</t>
  </si>
  <si>
    <t>Auteur</t>
  </si>
  <si>
    <t>Description</t>
  </si>
  <si>
    <t>Jérôme THEBAULT (Stagiaire)</t>
  </si>
  <si>
    <t>Création de la feuille</t>
  </si>
  <si>
    <t>Arthur LOYSEL (Stagiaire)</t>
  </si>
  <si>
    <t>Corrections de formules, modifications de l'affichage lié aux boutons de macros, ajout de µlu pour la prise en compte ou non de section d'acier, pris en charge des ouvrages d'art et des dalles, ajout de l'onglet "Dimensionnement ELU, appui"</t>
  </si>
  <si>
    <t>Manuel d'utilisation</t>
  </si>
  <si>
    <t>Bibliographie</t>
  </si>
  <si>
    <t>Ce fichier contient des feuilles de calculs qui sont présentées comme suit:</t>
  </si>
  <si>
    <t>[1]</t>
  </si>
  <si>
    <t>Pratique de l'Eurocode 2, J. ROUX</t>
  </si>
  <si>
    <t>Onglet 1</t>
  </si>
  <si>
    <t>Suivi des modifications</t>
  </si>
  <si>
    <t>[2]</t>
  </si>
  <si>
    <t>Calcul des structures en béton, J.M.Paillé</t>
  </si>
  <si>
    <t>Onglet 2</t>
  </si>
  <si>
    <t>[3]</t>
  </si>
  <si>
    <t>Maîtrise de l'Eurocode 2, J. ROUX</t>
  </si>
  <si>
    <t>Onglet 3</t>
  </si>
  <si>
    <t>Données</t>
  </si>
  <si>
    <t>EC2</t>
  </si>
  <si>
    <t>NF EN 1992-1-1 Octobre 2005</t>
  </si>
  <si>
    <t>Onglet 4</t>
  </si>
  <si>
    <t>Résultats</t>
  </si>
  <si>
    <t>NF EN 1992-1-1/NA 24 Mars 2016</t>
  </si>
  <si>
    <t>Onglet 5 (masqué)</t>
  </si>
  <si>
    <t>Outils</t>
  </si>
  <si>
    <t>NF EN 1992-2/NA Avril 2007</t>
  </si>
  <si>
    <t>Onglet 6 (masqué)</t>
  </si>
  <si>
    <t>Dimensionnement ELU, travée</t>
  </si>
  <si>
    <t>Onglet 7 (masqué)</t>
  </si>
  <si>
    <t>Dimensionnement ELU, appuis</t>
  </si>
  <si>
    <t>Onglet 8 (masqué)</t>
  </si>
  <si>
    <t>Vérification ELS</t>
  </si>
  <si>
    <t>Mode d'utilisation</t>
  </si>
  <si>
    <t>Cette feuille sert à calculer la section de ferraillage longitudinale nécessaire à une poutre (rectangulaire ou en Té), ou à une dalle à l'ELU et de vérifier les contraintes et l'ouverture des fissures à l'ELS. Les ouvertures des fissures sont vérifiées selon la méthode directe.</t>
  </si>
  <si>
    <t>Légende</t>
  </si>
  <si>
    <t>Cellule à ne pas toucher</t>
  </si>
  <si>
    <t>A donner</t>
  </si>
  <si>
    <t>Valeur recommandée par l'EC2</t>
  </si>
  <si>
    <t>Valeur recommandée par l'annexe nationale</t>
  </si>
  <si>
    <r>
      <t>Attention : cette feuille de calcul est basé sur [1] (cf. Bibliographie) et sert donc au dimensionnement de poutres et dalles. Les dispositions constructives relatives aux poteaux et voiles ne sont donc ici pas prises en compte. Entre autre, les sections minimums et maximums de ferraillage (A</t>
    </r>
    <r>
      <rPr>
        <vertAlign val="subscript"/>
        <sz val="8"/>
        <color rgb="FFFF0000"/>
        <rFont val="Calibri"/>
        <family val="2"/>
        <scheme val="minor"/>
      </rPr>
      <t>smin</t>
    </r>
    <r>
      <rPr>
        <sz val="8"/>
        <color rgb="FFFF0000"/>
        <rFont val="Calibri"/>
        <family val="2"/>
        <scheme val="minor"/>
      </rPr>
      <t xml:space="preserve"> et A</t>
    </r>
    <r>
      <rPr>
        <vertAlign val="subscript"/>
        <sz val="8"/>
        <color rgb="FFFF0000"/>
        <rFont val="Calibri"/>
        <family val="2"/>
        <scheme val="minor"/>
      </rPr>
      <t>smax</t>
    </r>
    <r>
      <rPr>
        <sz val="8"/>
        <color rgb="FFFF0000"/>
        <rFont val="Calibri"/>
        <family val="2"/>
        <scheme val="minor"/>
      </rPr>
      <t>) et d'espacement s'appliquent aux poutres et aux dalles. Se référer, si l'élément n'est pas une poutre ou une dalle, aux paragraphes de l'EC2 :
- Poteaux : §9.5
- Voiles : §9.6
- Etc.</t>
    </r>
  </si>
  <si>
    <r>
      <rPr>
        <b/>
        <sz val="11"/>
        <color theme="1"/>
        <rFont val="Calibri"/>
        <family val="2"/>
        <scheme val="minor"/>
      </rPr>
      <t>1)</t>
    </r>
    <r>
      <rPr>
        <sz val="11"/>
        <color theme="1"/>
        <rFont val="Calibri"/>
        <family val="2"/>
        <scheme val="minor"/>
      </rPr>
      <t xml:space="preserve"> Cette feuille se lit et s'utilise de haut en bas.
</t>
    </r>
    <r>
      <rPr>
        <b/>
        <sz val="11"/>
        <color theme="1"/>
        <rFont val="Calibri"/>
        <family val="2"/>
        <scheme val="minor"/>
      </rPr>
      <t>2)</t>
    </r>
    <r>
      <rPr>
        <sz val="11"/>
        <color theme="1"/>
        <rFont val="Calibri"/>
        <family val="2"/>
        <scheme val="minor"/>
      </rPr>
      <t xml:space="preserve"> Liste déroulante de la forme ci-contre : 
Si le choix que vous voulez est déjà sélectionné, il faut néanmoins changer de choix puis remettre le choix souhaité, afin d'activer la Macro. (Exemple : Si vous voulez traiter une poutre à section rectangulaire et que "Rectangulaire" est déjà choisi, il faut resélectionner "En té" puis finalement "Rectangulaire".)
</t>
    </r>
    <r>
      <rPr>
        <b/>
        <sz val="11"/>
        <color theme="1"/>
        <rFont val="Calibri"/>
        <family val="2"/>
        <scheme val="minor"/>
      </rPr>
      <t xml:space="preserve">3) </t>
    </r>
    <r>
      <rPr>
        <sz val="11"/>
        <color theme="1"/>
        <rFont val="Calibri"/>
        <family val="2"/>
        <scheme val="minor"/>
      </rPr>
      <t>Parfois, le calcul des valeurs après changement d'une cellule nécessite de sauvegarder le fichier (raccourci : Ctrl + s)
4) Le calcul de l'ouverture des fissures prends en compte la section d'acier choisie et non la section d'acier théorique. Ainsi, pensez à bien vérifier que vous avez rentrez une valeur de section d'acier avant de regarder l'ouverture des fissures.</t>
    </r>
  </si>
  <si>
    <t>Limites d'utilisation de la feuille de calcul pour la Flexion Simple à l'Eurocode 2</t>
  </si>
  <si>
    <r>
      <t xml:space="preserve">
- 400MPa≤f</t>
    </r>
    <r>
      <rPr>
        <vertAlign val="subscript"/>
        <sz val="11"/>
        <color theme="1"/>
        <rFont val="Calibri"/>
        <family val="2"/>
        <scheme val="minor"/>
      </rPr>
      <t>yk</t>
    </r>
    <r>
      <rPr>
        <sz val="11"/>
        <color theme="1"/>
        <rFont val="Calibri"/>
        <family val="2"/>
        <scheme val="minor"/>
      </rPr>
      <t>≤600MPa &amp; 12MPa≤f</t>
    </r>
    <r>
      <rPr>
        <vertAlign val="subscript"/>
        <sz val="11"/>
        <color theme="1"/>
        <rFont val="Calibri"/>
        <family val="2"/>
        <scheme val="minor"/>
      </rPr>
      <t>ck</t>
    </r>
    <r>
      <rPr>
        <sz val="11"/>
        <color theme="1"/>
        <rFont val="Calibri"/>
        <family val="2"/>
        <scheme val="minor"/>
      </rPr>
      <t>≤90MPa
- Pas d’armature de précontrainte
- L’annexe nationale française NF-EN 1992-1-1/NA prédomine sur l’EC2
- Les feuilles ne prennent pas en compte les dispositions particulières liées aux réservoirs
- Poutre rectangulaire ou en té
-  Loi de comportement du béton : parabole-rectangle
- Loi de comportement de l’acier : palier incliné ou horizontal
- w_k : k</t>
    </r>
    <r>
      <rPr>
        <vertAlign val="subscript"/>
        <sz val="11"/>
        <color theme="1"/>
        <rFont val="Calibri"/>
        <family val="2"/>
        <scheme val="minor"/>
      </rPr>
      <t>t</t>
    </r>
    <r>
      <rPr>
        <sz val="11"/>
        <color theme="1"/>
        <rFont val="Calibri"/>
        <family val="2"/>
        <scheme val="minor"/>
      </rPr>
      <t>=0.4 (courte durée, le cas le plus dommageable), k</t>
    </r>
    <r>
      <rPr>
        <vertAlign val="subscript"/>
        <sz val="11"/>
        <color theme="1"/>
        <rFont val="Calibri"/>
        <family val="2"/>
        <scheme val="minor"/>
      </rPr>
      <t>1</t>
    </r>
    <r>
      <rPr>
        <sz val="11"/>
        <color theme="1"/>
        <rFont val="Calibri"/>
        <family val="2"/>
        <scheme val="minor"/>
      </rPr>
      <t xml:space="preserve"> pour les barres de haute adhérence
     - La remarque de la norme française </t>
    </r>
    <r>
      <rPr>
        <i/>
        <sz val="11"/>
        <color theme="1"/>
        <rFont val="Calibri"/>
        <family val="2"/>
        <scheme val="minor"/>
      </rPr>
      <t>NF EN 1992-1-1/NA 24 Mars 2016</t>
    </r>
    <r>
      <rPr>
        <sz val="11"/>
        <color theme="1"/>
        <rFont val="Calibri"/>
        <family val="2"/>
        <scheme val="minor"/>
      </rPr>
      <t xml:space="preserve">  article 7.4.3(3) NOTE (pas l’encadré, le texte en bleu) n'est pas prise en compte
-Cette feuille se base sur α</t>
    </r>
    <r>
      <rPr>
        <vertAlign val="subscript"/>
        <sz val="11"/>
        <color theme="1"/>
        <rFont val="Calibri"/>
        <family val="2"/>
        <scheme val="minor"/>
      </rPr>
      <t>cc</t>
    </r>
    <r>
      <rPr>
        <sz val="11"/>
        <color theme="1"/>
        <rFont val="Calibri"/>
        <family val="2"/>
        <scheme val="minor"/>
      </rPr>
      <t xml:space="preserve">= 1 conformément à l'annexe national sur les bâtiments et ouvrages d'art.
</t>
    </r>
  </si>
  <si>
    <t>FLEXION SIMPLE</t>
  </si>
  <si>
    <t>COMMENTAIRES</t>
  </si>
  <si>
    <t>Remplir les cellules:</t>
  </si>
  <si>
    <t>Les cellules en bleu correspondent aux résultats</t>
  </si>
  <si>
    <t>Projet :</t>
  </si>
  <si>
    <t>L15</t>
  </si>
  <si>
    <t>Situation de projet</t>
  </si>
  <si>
    <t>Ouvrage à traiter</t>
  </si>
  <si>
    <t>Combinaison d'actions</t>
  </si>
  <si>
    <t>à l'ELU</t>
  </si>
  <si>
    <t>Sismique</t>
  </si>
  <si>
    <t>Exposition</t>
  </si>
  <si>
    <t>XD1,XS1</t>
  </si>
  <si>
    <t>Maîtrise de la fissuration requise ?</t>
  </si>
  <si>
    <t>Non</t>
  </si>
  <si>
    <t>Sollicitations</t>
  </si>
  <si>
    <r>
      <t>M</t>
    </r>
    <r>
      <rPr>
        <vertAlign val="subscript"/>
        <sz val="11"/>
        <color theme="3" tint="-0.249977111117893"/>
        <rFont val="Calibri"/>
        <family val="2"/>
        <scheme val="minor"/>
      </rPr>
      <t>ELU,travée</t>
    </r>
  </si>
  <si>
    <t>moment fléchissant 
agissant lié à la travée</t>
  </si>
  <si>
    <t>kN.m</t>
  </si>
  <si>
    <r>
      <t>M</t>
    </r>
    <r>
      <rPr>
        <vertAlign val="subscript"/>
        <sz val="11"/>
        <color theme="3" tint="-0.249977111117893"/>
        <rFont val="Calibri"/>
        <family val="2"/>
        <scheme val="minor"/>
      </rPr>
      <t>ELU,appuis</t>
    </r>
  </si>
  <si>
    <t>moment fléchissant 
agissant lié aux appuis</t>
  </si>
  <si>
    <r>
      <t>M</t>
    </r>
    <r>
      <rPr>
        <vertAlign val="subscript"/>
        <sz val="11"/>
        <color theme="3" tint="-0.249977111117893"/>
        <rFont val="Calibri"/>
        <family val="2"/>
        <scheme val="minor"/>
      </rPr>
      <t>ELS,appuis</t>
    </r>
  </si>
  <si>
    <t>moment agissant de service
lié aux appuis</t>
  </si>
  <si>
    <r>
      <t>M</t>
    </r>
    <r>
      <rPr>
        <vertAlign val="subscript"/>
        <sz val="11"/>
        <color theme="3" tint="-0.249977111117893"/>
        <rFont val="Calibri"/>
        <family val="2"/>
        <scheme val="minor"/>
      </rPr>
      <t>ELS,travée</t>
    </r>
  </si>
  <si>
    <t>moment agissant de service
lié à la travée</t>
  </si>
  <si>
    <t>Dans le cas des ponts, rentrez la valeur du moment à l'ELS fréquent</t>
  </si>
  <si>
    <t>Dimensions</t>
  </si>
  <si>
    <t>Section</t>
  </si>
  <si>
    <t>h</t>
  </si>
  <si>
    <t>hauteur</t>
  </si>
  <si>
    <t>cm</t>
  </si>
  <si>
    <t>Poutre &gt; 2m et dalle &gt; 0,8m d'épaisseur, l'ouverture des fissures se fera selon l'eurocode 2 partie ouvrage d'art.</t>
  </si>
  <si>
    <t xml:space="preserve">d </t>
  </si>
  <si>
    <t>hauteur utile des aciers tendus</t>
  </si>
  <si>
    <t>on pourra prendre 
en prédimensionnement d=0,9*h</t>
  </si>
  <si>
    <r>
      <t>c</t>
    </r>
    <r>
      <rPr>
        <vertAlign val="subscript"/>
        <sz val="11"/>
        <color theme="3" tint="-0.249977111117893"/>
        <rFont val="Calibri"/>
        <family val="2"/>
        <scheme val="minor"/>
      </rPr>
      <t>nom</t>
    </r>
  </si>
  <si>
    <t>enrobage</t>
  </si>
  <si>
    <t xml:space="preserve">d' </t>
  </si>
  <si>
    <t>on pourra prendre en prédimensionnement d'=0,1*h</t>
  </si>
  <si>
    <r>
      <t>b</t>
    </r>
    <r>
      <rPr>
        <vertAlign val="subscript"/>
        <sz val="11"/>
        <color theme="3" tint="-0.249977111117893"/>
        <rFont val="Calibri"/>
        <family val="2"/>
        <scheme val="minor"/>
      </rPr>
      <t>w</t>
    </r>
  </si>
  <si>
    <t>largeur</t>
  </si>
  <si>
    <r>
      <t>b</t>
    </r>
    <r>
      <rPr>
        <vertAlign val="subscript"/>
        <sz val="11"/>
        <color theme="3" tint="-0.249977111117893"/>
        <rFont val="Calibri"/>
        <family val="2"/>
        <scheme val="minor"/>
      </rPr>
      <t>eff</t>
    </r>
  </si>
  <si>
    <t>largeur de la table 
de compression</t>
  </si>
  <si>
    <r>
      <t>h</t>
    </r>
    <r>
      <rPr>
        <vertAlign val="subscript"/>
        <sz val="11"/>
        <color theme="3" tint="-0.249977111117893"/>
        <rFont val="Calibri"/>
        <family val="2"/>
        <scheme val="minor"/>
      </rPr>
      <t>f</t>
    </r>
  </si>
  <si>
    <t>hauteur de la table 
de compression</t>
  </si>
  <si>
    <t>Matériaux</t>
  </si>
  <si>
    <t>Béton</t>
  </si>
  <si>
    <r>
      <t>f</t>
    </r>
    <r>
      <rPr>
        <vertAlign val="subscript"/>
        <sz val="11"/>
        <color theme="3" tint="-0.249977111117893"/>
        <rFont val="Calibri"/>
        <family val="2"/>
        <scheme val="minor"/>
      </rPr>
      <t>ck</t>
    </r>
  </si>
  <si>
    <t>résistance caractéristique à la 
compression du béton à 28 jours</t>
  </si>
  <si>
    <t>Mpa</t>
  </si>
  <si>
    <r>
      <t>Pour le cas des pieux forés où f</t>
    </r>
    <r>
      <rPr>
        <vertAlign val="subscript"/>
        <sz val="12"/>
        <color rgb="FFFF0000"/>
        <rFont val="Calibri"/>
        <family val="2"/>
        <scheme val="minor"/>
      </rPr>
      <t>cd</t>
    </r>
    <r>
      <rPr>
        <sz val="12"/>
        <color rgb="FFFF0000"/>
        <rFont val="Calibri"/>
        <family val="2"/>
        <scheme val="minor"/>
      </rPr>
      <t>=f</t>
    </r>
    <r>
      <rPr>
        <vertAlign val="subscript"/>
        <sz val="12"/>
        <color rgb="FFFF0000"/>
        <rFont val="Calibri"/>
        <family val="2"/>
        <scheme val="minor"/>
      </rPr>
      <t>ck</t>
    </r>
    <r>
      <rPr>
        <sz val="12"/>
        <color rgb="FFFF0000"/>
        <rFont val="Calibri"/>
        <family val="2"/>
        <scheme val="minor"/>
      </rPr>
      <t>/(</t>
    </r>
    <r>
      <rPr>
        <sz val="12"/>
        <color rgb="FFFF0000"/>
        <rFont val="Calibri"/>
        <family val="2"/>
      </rPr>
      <t>γ</t>
    </r>
    <r>
      <rPr>
        <vertAlign val="subscript"/>
        <sz val="12"/>
        <color rgb="FFFF0000"/>
        <rFont val="Calibri"/>
        <family val="2"/>
      </rPr>
      <t>c</t>
    </r>
    <r>
      <rPr>
        <sz val="12"/>
        <color rgb="FFFF0000"/>
        <rFont val="Calibri"/>
        <family val="2"/>
      </rPr>
      <t>.1,1), rentrer comme valeur de f</t>
    </r>
    <r>
      <rPr>
        <vertAlign val="subscript"/>
        <sz val="12"/>
        <color rgb="FFFF0000"/>
        <rFont val="Calibri"/>
        <family val="2"/>
      </rPr>
      <t>ck</t>
    </r>
    <r>
      <rPr>
        <sz val="12"/>
        <color rgb="FFFF0000"/>
        <rFont val="Calibri"/>
        <family val="2"/>
      </rPr>
      <t xml:space="preserve"> : f</t>
    </r>
    <r>
      <rPr>
        <vertAlign val="subscript"/>
        <sz val="12"/>
        <color rgb="FFFF0000"/>
        <rFont val="Calibri"/>
        <family val="2"/>
      </rPr>
      <t>ck</t>
    </r>
    <r>
      <rPr>
        <sz val="12"/>
        <color rgb="FFFF0000"/>
        <rFont val="Calibri"/>
        <family val="2"/>
      </rPr>
      <t>/1,1</t>
    </r>
  </si>
  <si>
    <t>Acier</t>
  </si>
  <si>
    <r>
      <t>f</t>
    </r>
    <r>
      <rPr>
        <vertAlign val="subscript"/>
        <sz val="11"/>
        <color theme="3" tint="-0.249977111117893"/>
        <rFont val="Calibri"/>
        <family val="2"/>
        <scheme val="minor"/>
      </rPr>
      <t>yk</t>
    </r>
  </si>
  <si>
    <t>limite d'élasticité 
des aciers</t>
  </si>
  <si>
    <t>Palier</t>
  </si>
  <si>
    <t>Classe de ductilité</t>
  </si>
  <si>
    <t>A</t>
  </si>
  <si>
    <t>Prendre en compte les aciers comprimés ?</t>
  </si>
  <si>
    <t>Oui</t>
  </si>
  <si>
    <r>
      <rPr>
        <sz val="11"/>
        <color theme="3" tint="-0.249977111117893"/>
        <rFont val="Calibri"/>
        <family val="2"/>
      </rPr>
      <t>α</t>
    </r>
    <r>
      <rPr>
        <vertAlign val="subscript"/>
        <sz val="11"/>
        <color theme="3" tint="-0.249977111117893"/>
        <rFont val="Calibri"/>
        <family val="2"/>
      </rPr>
      <t>e</t>
    </r>
    <r>
      <rPr>
        <sz val="11"/>
        <color theme="3" tint="-0.249977111117893"/>
        <rFont val="Calibri"/>
        <family val="2"/>
      </rPr>
      <t xml:space="preserve"> est </t>
    </r>
  </si>
  <si>
    <t>donné directement</t>
  </si>
  <si>
    <r>
      <t>α</t>
    </r>
    <r>
      <rPr>
        <vertAlign val="subscript"/>
        <sz val="12"/>
        <color theme="3" tint="-0.249977111117893"/>
        <rFont val="Calibri"/>
        <family val="2"/>
        <scheme val="minor"/>
      </rPr>
      <t>e</t>
    </r>
    <r>
      <rPr>
        <sz val="12"/>
        <color theme="3" tint="-0.249977111117893"/>
        <rFont val="Calibri"/>
        <family val="2"/>
        <scheme val="minor"/>
      </rPr>
      <t xml:space="preserve"> : coefficient d'équivalence acier/béton
φ(∞,t</t>
    </r>
    <r>
      <rPr>
        <vertAlign val="subscript"/>
        <sz val="12"/>
        <color theme="3" tint="-0.249977111117893"/>
        <rFont val="Calibri"/>
        <family val="2"/>
        <scheme val="minor"/>
      </rPr>
      <t>0</t>
    </r>
    <r>
      <rPr>
        <sz val="12"/>
        <color theme="3" tint="-0.249977111117893"/>
        <rFont val="Calibri"/>
        <family val="2"/>
        <scheme val="minor"/>
      </rPr>
      <t>) : coefficient de fluage du béton
α</t>
    </r>
    <r>
      <rPr>
        <vertAlign val="subscript"/>
        <sz val="12"/>
        <color theme="3" tint="-0.249977111117893"/>
        <rFont val="Calibri"/>
        <family val="2"/>
        <scheme val="minor"/>
      </rPr>
      <t>e</t>
    </r>
    <r>
      <rPr>
        <sz val="12"/>
        <color theme="3" tint="-0.249977111117893"/>
        <rFont val="Calibri"/>
        <family val="2"/>
        <scheme val="minor"/>
      </rPr>
      <t>(long terme)=E</t>
    </r>
    <r>
      <rPr>
        <vertAlign val="subscript"/>
        <sz val="12"/>
        <color theme="3" tint="-0.249977111117893"/>
        <rFont val="Calibri"/>
        <family val="2"/>
        <scheme val="minor"/>
      </rPr>
      <t>s</t>
    </r>
    <r>
      <rPr>
        <sz val="12"/>
        <color theme="3" tint="-0.249977111117893"/>
        <rFont val="Calibri"/>
        <family val="2"/>
        <scheme val="minor"/>
      </rPr>
      <t>/E</t>
    </r>
    <r>
      <rPr>
        <vertAlign val="subscript"/>
        <sz val="12"/>
        <color theme="3" tint="-0.249977111117893"/>
        <rFont val="Calibri"/>
        <family val="2"/>
        <scheme val="minor"/>
      </rPr>
      <t>c,eff</t>
    </r>
    <r>
      <rPr>
        <sz val="12"/>
        <color theme="3" tint="-0.249977111117893"/>
        <rFont val="Calibri"/>
        <family val="2"/>
        <scheme val="minor"/>
      </rPr>
      <t>, où E</t>
    </r>
    <r>
      <rPr>
        <vertAlign val="subscript"/>
        <sz val="12"/>
        <color theme="3" tint="-0.249977111117893"/>
        <rFont val="Calibri"/>
        <family val="2"/>
        <scheme val="minor"/>
      </rPr>
      <t>c,eff</t>
    </r>
    <r>
      <rPr>
        <sz val="12"/>
        <color theme="3" tint="-0.249977111117893"/>
        <rFont val="Calibri"/>
        <family val="2"/>
        <scheme val="minor"/>
      </rPr>
      <t>=E</t>
    </r>
    <r>
      <rPr>
        <vertAlign val="subscript"/>
        <sz val="12"/>
        <color theme="3" tint="-0.249977111117893"/>
        <rFont val="Calibri"/>
        <family val="2"/>
        <scheme val="minor"/>
      </rPr>
      <t>cm</t>
    </r>
    <r>
      <rPr>
        <sz val="12"/>
        <color theme="3" tint="-0.249977111117893"/>
        <rFont val="Calibri"/>
        <family val="2"/>
        <scheme val="minor"/>
      </rPr>
      <t>/(1+φ(∞,t</t>
    </r>
    <r>
      <rPr>
        <vertAlign val="subscript"/>
        <sz val="12"/>
        <color theme="3" tint="-0.249977111117893"/>
        <rFont val="Calibri"/>
        <family val="2"/>
        <scheme val="minor"/>
      </rPr>
      <t>0</t>
    </r>
    <r>
      <rPr>
        <sz val="12"/>
        <color theme="3" tint="-0.249977111117893"/>
        <rFont val="Calibri"/>
        <family val="2"/>
        <scheme val="minor"/>
      </rPr>
      <t>))</t>
    </r>
  </si>
  <si>
    <r>
      <t xml:space="preserve">Une valeur de </t>
    </r>
    <r>
      <rPr>
        <sz val="12"/>
        <color rgb="FFFF0000"/>
        <rFont val="Calibri"/>
        <family val="2"/>
      </rPr>
      <t>φ(∞,t</t>
    </r>
    <r>
      <rPr>
        <vertAlign val="subscript"/>
        <sz val="12"/>
        <color rgb="FFFF0000"/>
        <rFont val="Calibri"/>
        <family val="2"/>
      </rPr>
      <t>0</t>
    </r>
    <r>
      <rPr>
        <sz val="12"/>
        <color rgb="FFFF0000"/>
        <rFont val="Calibri"/>
        <family val="2"/>
      </rPr>
      <t>) peut être trouvée soit par le calcul (cf. feuille Accessoires, onglet φ(∞,t0) Coefficient de fluage) , soit par lecture de la Figure 3.1., valable pour des taux d'humidité HR de 50% ou de 80%.</t>
    </r>
  </si>
  <si>
    <r>
      <t>α</t>
    </r>
    <r>
      <rPr>
        <b/>
        <vertAlign val="subscript"/>
        <sz val="11"/>
        <color theme="3" tint="-0.249977111117893"/>
        <rFont val="Calibri"/>
        <family val="2"/>
        <scheme val="minor"/>
      </rPr>
      <t>e</t>
    </r>
    <r>
      <rPr>
        <sz val="11"/>
        <color theme="1"/>
        <rFont val="Calibri"/>
        <family val="2"/>
        <scheme val="minor"/>
      </rPr>
      <t/>
    </r>
  </si>
  <si>
    <t>coefficient d'équivalence acier/béton</t>
  </si>
  <si>
    <t>Résultats travée - ELU</t>
  </si>
  <si>
    <r>
      <t>z</t>
    </r>
    <r>
      <rPr>
        <vertAlign val="subscript"/>
        <sz val="12"/>
        <color theme="3" tint="-0.249977111117893"/>
        <rFont val="Calibri"/>
        <family val="2"/>
        <scheme val="minor"/>
      </rPr>
      <t>c</t>
    </r>
  </si>
  <si>
    <t>bras de levier des aciers tendus</t>
  </si>
  <si>
    <t>Aciers comprimés</t>
  </si>
  <si>
    <r>
      <t>A</t>
    </r>
    <r>
      <rPr>
        <b/>
        <vertAlign val="subscript"/>
        <sz val="11"/>
        <color theme="3" tint="-0.249977111117893"/>
        <rFont val="Calibri"/>
        <family val="2"/>
        <scheme val="minor"/>
      </rPr>
      <t>s2</t>
    </r>
  </si>
  <si>
    <r>
      <t>cm</t>
    </r>
    <r>
      <rPr>
        <b/>
        <vertAlign val="superscript"/>
        <sz val="11"/>
        <color theme="3" tint="-0.249977111117893"/>
        <rFont val="Calibri"/>
        <family val="2"/>
        <scheme val="minor"/>
      </rPr>
      <t>2</t>
    </r>
  </si>
  <si>
    <t>Aciers tendus</t>
  </si>
  <si>
    <r>
      <t>A</t>
    </r>
    <r>
      <rPr>
        <vertAlign val="subscript"/>
        <sz val="11"/>
        <color theme="1"/>
        <rFont val="Calibri"/>
        <family val="2"/>
        <scheme val="minor"/>
      </rPr>
      <t>smin</t>
    </r>
  </si>
  <si>
    <r>
      <t>A</t>
    </r>
    <r>
      <rPr>
        <vertAlign val="subscript"/>
        <sz val="11"/>
        <color theme="1"/>
        <rFont val="Calibri"/>
        <family val="2"/>
        <scheme val="minor"/>
      </rPr>
      <t>s1u,calculé</t>
    </r>
  </si>
  <si>
    <r>
      <t>en cm</t>
    </r>
    <r>
      <rPr>
        <vertAlign val="superscript"/>
        <sz val="11"/>
        <color theme="1"/>
        <rFont val="Calibri"/>
        <family val="2"/>
        <scheme val="minor"/>
      </rPr>
      <t>2</t>
    </r>
  </si>
  <si>
    <r>
      <t>A</t>
    </r>
    <r>
      <rPr>
        <vertAlign val="subscript"/>
        <sz val="11"/>
        <color theme="1"/>
        <rFont val="Calibri"/>
        <family val="2"/>
        <scheme val="minor"/>
      </rPr>
      <t>smax</t>
    </r>
  </si>
  <si>
    <t>Résultats appuis - ELU</t>
  </si>
  <si>
    <t>Section d'acier choisie</t>
  </si>
  <si>
    <t>Armatures tendues</t>
  </si>
  <si>
    <t>Nombre de lits choisi</t>
  </si>
  <si>
    <t>Valeur recommandée 
par l'annexe nationale</t>
  </si>
  <si>
    <r>
      <t>n</t>
    </r>
    <r>
      <rPr>
        <vertAlign val="subscript"/>
        <sz val="11"/>
        <color theme="3" tint="-0.249977111117893"/>
        <rFont val="Calibri"/>
        <family val="2"/>
        <scheme val="minor"/>
      </rPr>
      <t>1</t>
    </r>
  </si>
  <si>
    <r>
      <t>Lit 1, composé de n</t>
    </r>
    <r>
      <rPr>
        <i/>
        <vertAlign val="subscript"/>
        <sz val="8"/>
        <color theme="3" tint="-0.249977111117893"/>
        <rFont val="Calibri"/>
        <family val="2"/>
        <scheme val="minor"/>
      </rPr>
      <t xml:space="preserve">1 </t>
    </r>
    <r>
      <rPr>
        <i/>
        <sz val="8"/>
        <color theme="3" tint="-0.249977111117893"/>
        <rFont val="Calibri"/>
        <family val="2"/>
        <scheme val="minor"/>
      </rPr>
      <t>armatures
 de diamètre φ</t>
    </r>
    <r>
      <rPr>
        <i/>
        <vertAlign val="subscript"/>
        <sz val="8"/>
        <color theme="3" tint="-0.249977111117893"/>
        <rFont val="Calibri"/>
        <family val="2"/>
        <scheme val="minor"/>
      </rPr>
      <t>1</t>
    </r>
  </si>
  <si>
    <r>
      <t>φ</t>
    </r>
    <r>
      <rPr>
        <vertAlign val="subscript"/>
        <sz val="11"/>
        <color theme="3" tint="-0.249977111117893"/>
        <rFont val="Calibri"/>
        <family val="2"/>
      </rPr>
      <t>1</t>
    </r>
  </si>
  <si>
    <t>mm</t>
  </si>
  <si>
    <r>
      <t>n</t>
    </r>
    <r>
      <rPr>
        <vertAlign val="subscript"/>
        <sz val="11"/>
        <color theme="3" tint="-0.249977111117893"/>
        <rFont val="Calibri"/>
        <family val="2"/>
        <scheme val="minor"/>
      </rPr>
      <t>2</t>
    </r>
  </si>
  <si>
    <r>
      <t>Lit 2, composé de n</t>
    </r>
    <r>
      <rPr>
        <i/>
        <vertAlign val="subscript"/>
        <sz val="8"/>
        <color theme="3" tint="-0.249977111117893"/>
        <rFont val="Calibri"/>
        <family val="2"/>
        <scheme val="minor"/>
      </rPr>
      <t xml:space="preserve">2 </t>
    </r>
    <r>
      <rPr>
        <i/>
        <sz val="8"/>
        <color theme="3" tint="-0.249977111117893"/>
        <rFont val="Calibri"/>
        <family val="2"/>
        <scheme val="minor"/>
      </rPr>
      <t>armatures
 de diamètre φ</t>
    </r>
    <r>
      <rPr>
        <i/>
        <vertAlign val="subscript"/>
        <sz val="8"/>
        <color theme="3" tint="-0.249977111117893"/>
        <rFont val="Calibri"/>
        <family val="2"/>
        <scheme val="minor"/>
      </rPr>
      <t>2</t>
    </r>
  </si>
  <si>
    <r>
      <t>φ</t>
    </r>
    <r>
      <rPr>
        <vertAlign val="subscript"/>
        <sz val="11"/>
        <color theme="3" tint="-0.249977111117893"/>
        <rFont val="Calibri"/>
        <family val="2"/>
      </rPr>
      <t>2</t>
    </r>
  </si>
  <si>
    <r>
      <t>n</t>
    </r>
    <r>
      <rPr>
        <vertAlign val="subscript"/>
        <sz val="11"/>
        <color theme="3" tint="-0.249977111117893"/>
        <rFont val="Calibri"/>
        <family val="2"/>
        <scheme val="minor"/>
      </rPr>
      <t>3</t>
    </r>
  </si>
  <si>
    <r>
      <t>Lit 3, composé de n</t>
    </r>
    <r>
      <rPr>
        <i/>
        <vertAlign val="subscript"/>
        <sz val="8"/>
        <color theme="3" tint="-0.249977111117893"/>
        <rFont val="Calibri"/>
        <family val="2"/>
        <scheme val="minor"/>
      </rPr>
      <t xml:space="preserve">3 </t>
    </r>
    <r>
      <rPr>
        <i/>
        <sz val="8"/>
        <color theme="3" tint="-0.249977111117893"/>
        <rFont val="Calibri"/>
        <family val="2"/>
        <scheme val="minor"/>
      </rPr>
      <t>armatures
 de diamètre φ</t>
    </r>
    <r>
      <rPr>
        <i/>
        <vertAlign val="subscript"/>
        <sz val="8"/>
        <color theme="3" tint="-0.249977111117893"/>
        <rFont val="Calibri"/>
        <family val="2"/>
        <scheme val="minor"/>
      </rPr>
      <t>3</t>
    </r>
  </si>
  <si>
    <r>
      <t>φ</t>
    </r>
    <r>
      <rPr>
        <vertAlign val="subscript"/>
        <sz val="11"/>
        <color theme="3" tint="-0.249977111117893"/>
        <rFont val="Calibri"/>
        <family val="2"/>
      </rPr>
      <t>3</t>
    </r>
  </si>
  <si>
    <r>
      <t>A</t>
    </r>
    <r>
      <rPr>
        <b/>
        <vertAlign val="subscript"/>
        <sz val="11"/>
        <color theme="3" tint="-0.249977111117893"/>
        <rFont val="Calibri"/>
        <family val="2"/>
        <scheme val="minor"/>
      </rPr>
      <t>s1</t>
    </r>
  </si>
  <si>
    <t>Section totale d'armatures 
tendues choisie</t>
  </si>
  <si>
    <t>Armatures comprimées</t>
  </si>
  <si>
    <r>
      <t>n</t>
    </r>
    <r>
      <rPr>
        <vertAlign val="subscript"/>
        <sz val="11"/>
        <color theme="3" tint="-0.249977111117893"/>
        <rFont val="Calibri"/>
        <family val="2"/>
        <scheme val="minor"/>
      </rPr>
      <t>2,1</t>
    </r>
  </si>
  <si>
    <r>
      <t>Lit des aciers comprimés, composé 
de n</t>
    </r>
    <r>
      <rPr>
        <i/>
        <vertAlign val="subscript"/>
        <sz val="8"/>
        <color theme="3" tint="-0.249977111117893"/>
        <rFont val="Calibri"/>
        <family val="2"/>
        <scheme val="minor"/>
      </rPr>
      <t>2,1</t>
    </r>
    <r>
      <rPr>
        <i/>
        <sz val="8"/>
        <color theme="3" tint="-0.249977111117893"/>
        <rFont val="Calibri"/>
        <family val="2"/>
        <scheme val="minor"/>
      </rPr>
      <t xml:space="preserve"> armatures de diamètre  φ</t>
    </r>
    <r>
      <rPr>
        <i/>
        <vertAlign val="subscript"/>
        <sz val="8"/>
        <color theme="3" tint="-0.249977111117893"/>
        <rFont val="Calibri"/>
        <family val="2"/>
        <scheme val="minor"/>
      </rPr>
      <t>2,1</t>
    </r>
  </si>
  <si>
    <r>
      <t>φ</t>
    </r>
    <r>
      <rPr>
        <vertAlign val="subscript"/>
        <sz val="11"/>
        <color theme="3" tint="-0.249977111117893"/>
        <rFont val="Calibri"/>
        <family val="2"/>
      </rPr>
      <t>2,1</t>
    </r>
  </si>
  <si>
    <t>Espacement</t>
  </si>
  <si>
    <t>Les valeurs usuelles de l'espacement sont : 8 / 10 / 12,5 / 15 / 17,5 / 20 / 22,5 / 25 cm</t>
  </si>
  <si>
    <t>Espacement minimal</t>
  </si>
  <si>
    <t>└&gt; Conforme ?</t>
  </si>
  <si>
    <r>
      <t>w</t>
    </r>
    <r>
      <rPr>
        <vertAlign val="subscript"/>
        <sz val="11"/>
        <color theme="3" tint="-0.249977111117893"/>
        <rFont val="Calibri"/>
        <family val="2"/>
        <scheme val="minor"/>
      </rPr>
      <t>k,max</t>
    </r>
    <r>
      <rPr>
        <sz val="11"/>
        <color theme="3" tint="-0.249977111117893"/>
        <rFont val="Calibri"/>
        <family val="2"/>
        <scheme val="minor"/>
      </rPr>
      <t xml:space="preserve">, valeur limite de l'ouverture de fissure, est </t>
    </r>
  </si>
  <si>
    <r>
      <t>il est conseillé à l'utilisateur de contrôler les valeurs des coefficients donnant w</t>
    </r>
    <r>
      <rPr>
        <vertAlign val="subscript"/>
        <sz val="12"/>
        <color rgb="FFFF0000"/>
        <rFont val="Calibri"/>
        <family val="2"/>
        <scheme val="minor"/>
      </rPr>
      <t>k</t>
    </r>
    <r>
      <rPr>
        <sz val="12"/>
        <color rgb="FFFF0000"/>
        <rFont val="Calibri"/>
        <family val="2"/>
        <scheme val="minor"/>
      </rPr>
      <t>, variables selon les différents types d'ouvrages</t>
    </r>
  </si>
  <si>
    <r>
      <t>w</t>
    </r>
    <r>
      <rPr>
        <vertAlign val="subscript"/>
        <sz val="11"/>
        <color theme="3" tint="-0.249977111117893"/>
        <rFont val="Calibri"/>
        <family val="2"/>
        <scheme val="minor"/>
      </rPr>
      <t>k,max,donné</t>
    </r>
  </si>
  <si>
    <r>
      <t>w</t>
    </r>
    <r>
      <rPr>
        <b/>
        <vertAlign val="subscript"/>
        <sz val="11"/>
        <color theme="3" tint="-0.249977111117893"/>
        <rFont val="Calibri"/>
        <family val="2"/>
        <scheme val="minor"/>
      </rPr>
      <t>k,max</t>
    </r>
  </si>
  <si>
    <t>Valeur limite de l'ouverture de fissure</t>
  </si>
  <si>
    <t>Vérifications des contraintes à l'ELS (qp : quasi-permanent ; k : caractéristique)</t>
  </si>
  <si>
    <t xml:space="preserve">D'après les calculs, 
la partie tendue du béton est </t>
  </si>
  <si>
    <t xml:space="preserve">└&gt; Forcer la prise en compte 
de la fissuration ? </t>
  </si>
  <si>
    <t>Il est fortement recommandé de forcer la prise en compte de la fissuration</t>
  </si>
  <si>
    <r>
      <t>x</t>
    </r>
    <r>
      <rPr>
        <vertAlign val="subscript"/>
        <sz val="12"/>
        <color theme="3" tint="-0.249977111117893"/>
        <rFont val="Calibri"/>
        <family val="2"/>
        <scheme val="minor"/>
      </rPr>
      <t>1</t>
    </r>
  </si>
  <si>
    <t>distance axe neutre-fibre comprimée</t>
  </si>
  <si>
    <r>
      <t>σ</t>
    </r>
    <r>
      <rPr>
        <b/>
        <vertAlign val="subscript"/>
        <sz val="11"/>
        <color theme="3" tint="-0.249977111117893"/>
        <rFont val="Calibri"/>
        <family val="2"/>
      </rPr>
      <t xml:space="preserve">c </t>
    </r>
    <r>
      <rPr>
        <b/>
        <sz val="11"/>
        <color theme="3" tint="-0.249977111117893"/>
        <rFont val="Calibri"/>
        <family val="2"/>
      </rPr>
      <t>(Mpa)</t>
    </r>
  </si>
  <si>
    <r>
      <t>σ</t>
    </r>
    <r>
      <rPr>
        <b/>
        <vertAlign val="subscript"/>
        <sz val="11"/>
        <color theme="3" tint="-0.249977111117893"/>
        <rFont val="Calibri"/>
        <family val="2"/>
      </rPr>
      <t>c,qp</t>
    </r>
    <r>
      <rPr>
        <b/>
        <vertAlign val="superscript"/>
        <sz val="11"/>
        <color theme="3" tint="-0.249977111117893"/>
        <rFont val="Calibri"/>
        <family val="2"/>
      </rPr>
      <t>barre</t>
    </r>
    <r>
      <rPr>
        <b/>
        <vertAlign val="subscript"/>
        <sz val="11"/>
        <color theme="3" tint="-0.249977111117893"/>
        <rFont val="Calibri"/>
        <family val="2"/>
      </rPr>
      <t xml:space="preserve"> </t>
    </r>
    <r>
      <rPr>
        <b/>
        <sz val="11"/>
        <color theme="3" tint="-0.249977111117893"/>
        <rFont val="Calibri"/>
        <family val="2"/>
      </rPr>
      <t>(Mpa)</t>
    </r>
  </si>
  <si>
    <r>
      <t>σ</t>
    </r>
    <r>
      <rPr>
        <b/>
        <vertAlign val="subscript"/>
        <sz val="11"/>
        <color theme="3" tint="-0.249977111117893"/>
        <rFont val="Calibri"/>
        <family val="2"/>
      </rPr>
      <t>c,k</t>
    </r>
    <r>
      <rPr>
        <b/>
        <vertAlign val="superscript"/>
        <sz val="11"/>
        <color theme="3" tint="-0.249977111117893"/>
        <rFont val="Calibri"/>
        <family val="2"/>
      </rPr>
      <t>barre</t>
    </r>
    <r>
      <rPr>
        <b/>
        <vertAlign val="subscript"/>
        <sz val="11"/>
        <color theme="3" tint="-0.249977111117893"/>
        <rFont val="Calibri"/>
        <family val="2"/>
      </rPr>
      <t xml:space="preserve"> </t>
    </r>
    <r>
      <rPr>
        <b/>
        <sz val="11"/>
        <color theme="3" tint="-0.249977111117893"/>
        <rFont val="Calibri"/>
        <family val="2"/>
      </rPr>
      <t>(Mpa)</t>
    </r>
  </si>
  <si>
    <r>
      <t>σ</t>
    </r>
    <r>
      <rPr>
        <b/>
        <vertAlign val="subscript"/>
        <sz val="11"/>
        <color theme="3" tint="-0.249977111117893"/>
        <rFont val="Calibri"/>
        <family val="2"/>
      </rPr>
      <t xml:space="preserve">s2 </t>
    </r>
    <r>
      <rPr>
        <b/>
        <sz val="11"/>
        <color theme="3" tint="-0.249977111117893"/>
        <rFont val="Calibri"/>
        <family val="2"/>
      </rPr>
      <t>(Mpa)</t>
    </r>
  </si>
  <si>
    <r>
      <t>σ</t>
    </r>
    <r>
      <rPr>
        <b/>
        <vertAlign val="subscript"/>
        <sz val="11"/>
        <color theme="3" tint="-0.249977111117893"/>
        <rFont val="Calibri"/>
        <family val="2"/>
        <scheme val="minor"/>
      </rPr>
      <t>s</t>
    </r>
    <r>
      <rPr>
        <b/>
        <vertAlign val="superscript"/>
        <sz val="11"/>
        <color theme="3" tint="-0.249977111117893"/>
        <rFont val="Calibri"/>
        <family val="2"/>
        <scheme val="minor"/>
      </rPr>
      <t>barre</t>
    </r>
    <r>
      <rPr>
        <b/>
        <sz val="11"/>
        <color theme="3" tint="-0.249977111117893"/>
        <rFont val="Calibri"/>
        <family val="2"/>
        <scheme val="minor"/>
      </rPr>
      <t xml:space="preserve"> (Mpa)</t>
    </r>
  </si>
  <si>
    <r>
      <t>σ</t>
    </r>
    <r>
      <rPr>
        <b/>
        <vertAlign val="subscript"/>
        <sz val="11"/>
        <color theme="3" tint="-0.249977111117893"/>
        <rFont val="Calibri"/>
        <family val="2"/>
      </rPr>
      <t>s1</t>
    </r>
    <r>
      <rPr>
        <b/>
        <sz val="11"/>
        <color theme="3" tint="-0.249977111117893"/>
        <rFont val="Calibri"/>
        <family val="2"/>
      </rPr>
      <t xml:space="preserve">  (Mpa)</t>
    </r>
  </si>
  <si>
    <t>Vérification de l'ouverture des fissures (combinaisons quasi-permanente uniquement)</t>
  </si>
  <si>
    <r>
      <t>w</t>
    </r>
    <r>
      <rPr>
        <b/>
        <vertAlign val="subscript"/>
        <sz val="11"/>
        <color theme="3" tint="-0.249977111117893"/>
        <rFont val="Calibri"/>
        <family val="2"/>
        <scheme val="minor"/>
      </rPr>
      <t>k</t>
    </r>
  </si>
  <si>
    <t>quasi-permanent</t>
  </si>
  <si>
    <t>Dalle</t>
  </si>
  <si>
    <r>
      <t xml:space="preserve">Pour faire disparaître lignes </t>
    </r>
    <r>
      <rPr>
        <sz val="11"/>
        <color theme="0" tint="-0.249977111117893"/>
        <rFont val="Calibri"/>
        <family val="2"/>
      </rPr>
      <t>α</t>
    </r>
    <r>
      <rPr>
        <vertAlign val="subscript"/>
        <sz val="11"/>
        <color theme="0" tint="-0.249977111117893"/>
        <rFont val="Calibri"/>
        <family val="2"/>
      </rPr>
      <t>e</t>
    </r>
  </si>
  <si>
    <t>Appuis &amp; travée</t>
  </si>
  <si>
    <t>donnée par l'annexe nationale (Ouvrages d'art)</t>
  </si>
  <si>
    <t>Quasi-permanente</t>
  </si>
  <si>
    <t>Permanente / Transitoire</t>
  </si>
  <si>
    <t>Rectangulaire</t>
  </si>
  <si>
    <t>X0</t>
  </si>
  <si>
    <t>calculé à partir de φ(∞,t0) donné</t>
  </si>
  <si>
    <t>Fissurée</t>
  </si>
  <si>
    <t>S1</t>
  </si>
  <si>
    <t>Horizontal</t>
  </si>
  <si>
    <t>RÉFÉRENCES</t>
  </si>
  <si>
    <t>caractéristique</t>
  </si>
  <si>
    <t>Voile</t>
  </si>
  <si>
    <t>Travée seule</t>
  </si>
  <si>
    <t>donnée par l'annexe nationale (Bâtiments)</t>
  </si>
  <si>
    <t>Caractéristique</t>
  </si>
  <si>
    <t>Accidentelle</t>
  </si>
  <si>
    <t>En té</t>
  </si>
  <si>
    <t>B</t>
  </si>
  <si>
    <t>XC1</t>
  </si>
  <si>
    <t>Non fissurée</t>
  </si>
  <si>
    <t>S2</t>
  </si>
  <si>
    <t>Incliné</t>
  </si>
  <si>
    <r>
      <t>µ</t>
    </r>
    <r>
      <rPr>
        <vertAlign val="subscript"/>
        <sz val="11"/>
        <color theme="1"/>
        <rFont val="Calibri"/>
        <family val="2"/>
        <scheme val="minor"/>
      </rPr>
      <t>ELS,qp</t>
    </r>
  </si>
  <si>
    <t>[1] Chap 7.  §2.2.2.</t>
  </si>
  <si>
    <t>Moment agissant de service réduit</t>
  </si>
  <si>
    <t>quasi-permanent=caractéristique</t>
  </si>
  <si>
    <t>Poutre</t>
  </si>
  <si>
    <t>donnée directement</t>
  </si>
  <si>
    <t>C</t>
  </si>
  <si>
    <t>XC2,XC3</t>
  </si>
  <si>
    <t>S3</t>
  </si>
  <si>
    <r>
      <t>γ</t>
    </r>
    <r>
      <rPr>
        <vertAlign val="subscript"/>
        <sz val="11"/>
        <color theme="1"/>
        <rFont val="Calibri"/>
        <family val="2"/>
      </rPr>
      <t>t</t>
    </r>
    <r>
      <rPr>
        <sz val="11"/>
        <color theme="1"/>
        <rFont val="Calibri"/>
        <family val="2"/>
      </rPr>
      <t/>
    </r>
  </si>
  <si>
    <t>[1] Chap 7.  §2.2.2. Remarque 1.</t>
  </si>
  <si>
    <t xml:space="preserve">Rapport des moments </t>
  </si>
  <si>
    <t>Poteau</t>
  </si>
  <si>
    <t>XC4</t>
  </si>
  <si>
    <t>S4</t>
  </si>
  <si>
    <r>
      <t>γ</t>
    </r>
    <r>
      <rPr>
        <vertAlign val="subscript"/>
        <sz val="11"/>
        <color theme="1"/>
        <rFont val="Calibri"/>
        <family val="2"/>
      </rPr>
      <t>a</t>
    </r>
    <r>
      <rPr>
        <sz val="11"/>
        <color theme="1"/>
        <rFont val="Calibri"/>
        <family val="2"/>
      </rPr>
      <t/>
    </r>
  </si>
  <si>
    <t>S5</t>
  </si>
  <si>
    <t>XD2,XS2</t>
  </si>
  <si>
    <t>S6</t>
  </si>
  <si>
    <r>
      <rPr>
        <sz val="11"/>
        <color theme="1"/>
        <rFont val="Calibri"/>
        <family val="2"/>
      </rPr>
      <t>expo(σ</t>
    </r>
    <r>
      <rPr>
        <vertAlign val="subscript"/>
        <sz val="11"/>
        <color theme="1"/>
        <rFont val="Calibri"/>
        <family val="2"/>
        <scheme val="minor"/>
      </rPr>
      <t>c</t>
    </r>
    <r>
      <rPr>
        <vertAlign val="superscript"/>
        <sz val="11"/>
        <color theme="1"/>
        <rFont val="Calibri"/>
        <family val="2"/>
        <scheme val="minor"/>
      </rPr>
      <t>barre</t>
    </r>
    <r>
      <rPr>
        <sz val="11"/>
        <color theme="1"/>
        <rFont val="Calibri"/>
        <family val="2"/>
        <scheme val="minor"/>
      </rPr>
      <t>)</t>
    </r>
  </si>
  <si>
    <t>XD3,XS3</t>
  </si>
  <si>
    <r>
      <rPr>
        <sz val="11"/>
        <color theme="1"/>
        <rFont val="Calibri"/>
        <family val="2"/>
      </rPr>
      <t>expo(w</t>
    </r>
    <r>
      <rPr>
        <vertAlign val="subscript"/>
        <sz val="11"/>
        <color theme="1"/>
        <rFont val="Calibri"/>
        <family val="2"/>
      </rPr>
      <t>k,max</t>
    </r>
    <r>
      <rPr>
        <sz val="11"/>
        <color theme="1"/>
        <rFont val="Calibri"/>
        <family val="2"/>
        <scheme val="minor"/>
      </rPr>
      <t>)</t>
    </r>
  </si>
  <si>
    <t>XF</t>
  </si>
  <si>
    <r>
      <t>expo(c</t>
    </r>
    <r>
      <rPr>
        <vertAlign val="subscript"/>
        <sz val="11"/>
        <color theme="1"/>
        <rFont val="Calibri"/>
        <family val="2"/>
        <scheme val="minor"/>
      </rPr>
      <t>min,dur</t>
    </r>
    <r>
      <rPr>
        <sz val="11"/>
        <color theme="1"/>
        <rFont val="Calibri"/>
        <family val="2"/>
        <scheme val="minor"/>
      </rPr>
      <t>)</t>
    </r>
  </si>
  <si>
    <t>XA</t>
  </si>
  <si>
    <r>
      <rPr>
        <sz val="11"/>
        <color theme="1"/>
        <rFont val="Calibri"/>
        <family val="2"/>
      </rPr>
      <t>δ</t>
    </r>
    <r>
      <rPr>
        <sz val="11"/>
        <color theme="1"/>
        <rFont val="Calibri"/>
        <family val="2"/>
        <scheme val="minor"/>
      </rPr>
      <t>'=d'/d</t>
    </r>
  </si>
  <si>
    <t>[1] Chap 7.  §3.1.2.</t>
  </si>
  <si>
    <r>
      <t>A</t>
    </r>
    <r>
      <rPr>
        <vertAlign val="subscript"/>
        <sz val="11"/>
        <color theme="1"/>
        <rFont val="Calibri"/>
        <family val="2"/>
        <scheme val="minor"/>
      </rPr>
      <t>c</t>
    </r>
  </si>
  <si>
    <r>
      <t>cm</t>
    </r>
    <r>
      <rPr>
        <vertAlign val="superscript"/>
        <sz val="11"/>
        <color theme="1"/>
        <rFont val="Calibri"/>
        <family val="2"/>
        <scheme val="minor"/>
      </rPr>
      <t>2</t>
    </r>
  </si>
  <si>
    <t>Section de béton</t>
  </si>
  <si>
    <t>EC2 §9.2.1.1. (1) &amp; (3)</t>
  </si>
  <si>
    <r>
      <rPr>
        <sz val="11"/>
        <color theme="1"/>
        <rFont val="Calibri"/>
        <family val="2"/>
        <scheme val="minor"/>
      </rPr>
      <t>A</t>
    </r>
    <r>
      <rPr>
        <vertAlign val="subscript"/>
        <sz val="11"/>
        <color theme="1"/>
        <rFont val="Calibri"/>
        <family val="2"/>
        <scheme val="minor"/>
      </rPr>
      <t>smax</t>
    </r>
  </si>
  <si>
    <r>
      <t>b</t>
    </r>
    <r>
      <rPr>
        <vertAlign val="subscript"/>
        <sz val="11"/>
        <color theme="1"/>
        <rFont val="Calibri"/>
        <family val="2"/>
        <scheme val="minor"/>
      </rPr>
      <t>eff</t>
    </r>
  </si>
  <si>
    <r>
      <t>h</t>
    </r>
    <r>
      <rPr>
        <vertAlign val="subscript"/>
        <sz val="11"/>
        <color theme="1"/>
        <rFont val="Calibri"/>
        <family val="2"/>
        <scheme val="minor"/>
      </rPr>
      <t>f</t>
    </r>
  </si>
  <si>
    <t>&gt;On travaille, par souci d'opitmisation, avec le diagramme parabole-rectangle pour le béton et le diagramme à palier incliné pour l'acier</t>
  </si>
  <si>
    <r>
      <rPr>
        <sz val="11"/>
        <color theme="1"/>
        <rFont val="Calibri"/>
        <family val="2"/>
      </rPr>
      <t>α</t>
    </r>
    <r>
      <rPr>
        <vertAlign val="subscript"/>
        <sz val="11"/>
        <color theme="1"/>
        <rFont val="Calibri"/>
        <family val="2"/>
        <scheme val="minor"/>
      </rPr>
      <t>cc</t>
    </r>
  </si>
  <si>
    <t>EC2 §3.1.6. (1) note</t>
  </si>
  <si>
    <r>
      <t>Dans le cas des ponts, l'AN recommande d'utiliser α</t>
    </r>
    <r>
      <rPr>
        <vertAlign val="subscript"/>
        <sz val="11"/>
        <color theme="1"/>
        <rFont val="Calibri"/>
        <family val="2"/>
        <scheme val="minor"/>
      </rPr>
      <t>cc</t>
    </r>
    <r>
      <rPr>
        <sz val="11"/>
        <color theme="1"/>
        <rFont val="Calibri"/>
        <family val="2"/>
        <scheme val="minor"/>
      </rPr>
      <t>= 1. Toutefois, si α</t>
    </r>
    <r>
      <rPr>
        <vertAlign val="subscript"/>
        <sz val="11"/>
        <color theme="1"/>
        <rFont val="Calibri"/>
        <family val="2"/>
        <scheme val="minor"/>
      </rPr>
      <t>cc</t>
    </r>
    <r>
      <rPr>
        <sz val="11"/>
        <color theme="1"/>
        <rFont val="Calibri"/>
        <family val="2"/>
      </rPr>
      <t>≠</t>
    </r>
    <r>
      <rPr>
        <sz val="11"/>
        <color theme="1"/>
        <rFont val="Calibri"/>
        <family val="2"/>
        <scheme val="minor"/>
      </rPr>
      <t xml:space="preserve"> 1, se référer aux remarques de [1]</t>
    </r>
  </si>
  <si>
    <r>
      <t>γ</t>
    </r>
    <r>
      <rPr>
        <vertAlign val="subscript"/>
        <sz val="11"/>
        <color theme="1"/>
        <rFont val="Calibri"/>
        <family val="2"/>
        <scheme val="minor"/>
      </rPr>
      <t>c</t>
    </r>
  </si>
  <si>
    <t>EC2 §2.4.2.4. (1) et EN-1998-1 Clause 5.2.4 (3) Note 2 de l'AN pour le coefficient sismique</t>
  </si>
  <si>
    <t>coefficient partiel relatif au béton</t>
  </si>
  <si>
    <t>λ</t>
  </si>
  <si>
    <t xml:space="preserve">EC2§3.1.7. (3) </t>
  </si>
  <si>
    <t>η</t>
  </si>
  <si>
    <r>
      <t>f</t>
    </r>
    <r>
      <rPr>
        <vertAlign val="subscript"/>
        <sz val="11"/>
        <color theme="1"/>
        <rFont val="Calibri"/>
        <family val="2"/>
        <scheme val="minor"/>
      </rPr>
      <t>cm</t>
    </r>
  </si>
  <si>
    <t>EC2 §3.1.2. Tableau 3.1.</t>
  </si>
  <si>
    <t>résistance moyenne du béton à la compression à 28 jours</t>
  </si>
  <si>
    <r>
      <t>f</t>
    </r>
    <r>
      <rPr>
        <vertAlign val="subscript"/>
        <sz val="11"/>
        <color theme="1"/>
        <rFont val="Calibri"/>
        <family val="2"/>
        <scheme val="minor"/>
      </rPr>
      <t>cd</t>
    </r>
  </si>
  <si>
    <t>EC2 §3.1.6. (1)  (3.15)</t>
  </si>
  <si>
    <t>résistance de calcul en compression du béton</t>
  </si>
  <si>
    <r>
      <t>f</t>
    </r>
    <r>
      <rPr>
        <vertAlign val="subscript"/>
        <sz val="11"/>
        <color theme="1"/>
        <rFont val="Calibri"/>
        <family val="2"/>
        <scheme val="minor"/>
      </rPr>
      <t>cu</t>
    </r>
  </si>
  <si>
    <t>MPa</t>
  </si>
  <si>
    <t>[1] Chap 7.  §2.1.2.2 [7.8]</t>
  </si>
  <si>
    <t>contrainte uniforme de compression du béton</t>
  </si>
  <si>
    <r>
      <t>f</t>
    </r>
    <r>
      <rPr>
        <vertAlign val="subscript"/>
        <sz val="11"/>
        <color theme="1"/>
        <rFont val="Calibri"/>
        <family val="2"/>
        <scheme val="minor"/>
      </rPr>
      <t>ctm</t>
    </r>
  </si>
  <si>
    <t>résistance à la traction du béton à 28 jours</t>
  </si>
  <si>
    <r>
      <t>f</t>
    </r>
    <r>
      <rPr>
        <vertAlign val="subscript"/>
        <sz val="11"/>
        <color theme="1"/>
        <rFont val="Calibri"/>
        <family val="2"/>
        <scheme val="minor"/>
      </rPr>
      <t>cteff</t>
    </r>
  </si>
  <si>
    <t xml:space="preserve">EC2 §7.1. (2) &amp; §3.1.8. (3.23) </t>
  </si>
  <si>
    <r>
      <t>E</t>
    </r>
    <r>
      <rPr>
        <vertAlign val="subscript"/>
        <sz val="11"/>
        <color theme="1"/>
        <rFont val="Calibri"/>
        <family val="2"/>
        <scheme val="minor"/>
      </rPr>
      <t>cm</t>
    </r>
  </si>
  <si>
    <t>Module d'élasticité sécant du béton</t>
  </si>
  <si>
    <r>
      <t>k</t>
    </r>
    <r>
      <rPr>
        <vertAlign val="subscript"/>
        <sz val="11"/>
        <color theme="1"/>
        <rFont val="Calibri"/>
        <family val="2"/>
        <scheme val="minor"/>
      </rPr>
      <t>1</t>
    </r>
  </si>
  <si>
    <t xml:space="preserve">EC2 §7.2. (2) </t>
  </si>
  <si>
    <r>
      <rPr>
        <sz val="11"/>
        <color theme="1"/>
        <rFont val="Calibri"/>
        <family val="2"/>
      </rPr>
      <t>k</t>
    </r>
    <r>
      <rPr>
        <vertAlign val="subscript"/>
        <sz val="11"/>
        <color theme="1"/>
        <rFont val="Calibri"/>
        <family val="2"/>
      </rPr>
      <t>2</t>
    </r>
  </si>
  <si>
    <t xml:space="preserve">EC2 §7.2. (3) </t>
  </si>
  <si>
    <r>
      <t>ε</t>
    </r>
    <r>
      <rPr>
        <vertAlign val="subscript"/>
        <sz val="11"/>
        <color theme="1"/>
        <rFont val="Calibri"/>
        <family val="2"/>
        <scheme val="minor"/>
      </rPr>
      <t>cu2</t>
    </r>
  </si>
  <si>
    <t>‰</t>
  </si>
  <si>
    <t>EC2§3.1.2. Tableau 3.1.</t>
  </si>
  <si>
    <t>Déformation relative utime du béton en compression</t>
  </si>
  <si>
    <r>
      <t>ε</t>
    </r>
    <r>
      <rPr>
        <vertAlign val="subscript"/>
        <sz val="11"/>
        <color theme="1"/>
        <rFont val="Calibri"/>
        <family val="2"/>
        <scheme val="minor"/>
      </rPr>
      <t>uk</t>
    </r>
    <r>
      <rPr>
        <sz val="11"/>
        <color theme="1"/>
        <rFont val="Calibri"/>
        <family val="2"/>
        <scheme val="minor"/>
      </rPr>
      <t>(‰)</t>
    </r>
  </si>
  <si>
    <r>
      <t>k=f</t>
    </r>
    <r>
      <rPr>
        <vertAlign val="subscript"/>
        <sz val="11"/>
        <color theme="1"/>
        <rFont val="Calibri"/>
        <family val="2"/>
        <scheme val="minor"/>
      </rPr>
      <t>tk</t>
    </r>
    <r>
      <rPr>
        <sz val="11"/>
        <color theme="1"/>
        <rFont val="Calibri"/>
        <family val="2"/>
        <scheme val="minor"/>
      </rPr>
      <t>/f</t>
    </r>
    <r>
      <rPr>
        <vertAlign val="subscript"/>
        <sz val="11"/>
        <color theme="1"/>
        <rFont val="Calibri"/>
        <family val="2"/>
        <scheme val="minor"/>
      </rPr>
      <t>yk</t>
    </r>
  </si>
  <si>
    <t>[1] Chap 3.  §2.4.2.1 et
 EC2 - Annexe C, tableau C1</t>
  </si>
  <si>
    <r>
      <t>E</t>
    </r>
    <r>
      <rPr>
        <vertAlign val="subscript"/>
        <sz val="11"/>
        <color theme="1"/>
        <rFont val="Calibri"/>
        <family val="2"/>
        <scheme val="minor"/>
      </rPr>
      <t>s</t>
    </r>
  </si>
  <si>
    <t>EC2 §2.4.2.4. (1)</t>
  </si>
  <si>
    <t>module d'élasticité de l'acier</t>
  </si>
  <si>
    <r>
      <t>γ</t>
    </r>
    <r>
      <rPr>
        <vertAlign val="subscript"/>
        <sz val="11"/>
        <color theme="1"/>
        <rFont val="Calibri"/>
        <family val="2"/>
        <scheme val="minor"/>
      </rPr>
      <t>s</t>
    </r>
  </si>
  <si>
    <t xml:space="preserve">Coefficient partiel relatif à l'acier </t>
  </si>
  <si>
    <r>
      <t>f</t>
    </r>
    <r>
      <rPr>
        <vertAlign val="subscript"/>
        <sz val="11"/>
        <color theme="1"/>
        <rFont val="Calibri"/>
        <family val="2"/>
        <scheme val="minor"/>
      </rPr>
      <t>yd</t>
    </r>
  </si>
  <si>
    <t>[1] Chap 3.  §2.4.2.1</t>
  </si>
  <si>
    <t>Limite d'élasticité de calcul de l'acier</t>
  </si>
  <si>
    <r>
      <t>ε</t>
    </r>
    <r>
      <rPr>
        <vertAlign val="subscript"/>
        <sz val="11"/>
        <color theme="1"/>
        <rFont val="Calibri"/>
        <family val="2"/>
        <scheme val="minor"/>
      </rPr>
      <t>yd</t>
    </r>
  </si>
  <si>
    <t>[1] Chap 3.  §2.4.2.1.</t>
  </si>
  <si>
    <t>cf. diagramme ci-contre</t>
  </si>
  <si>
    <t>Paramètres de ductilité</t>
  </si>
  <si>
    <r>
      <t>ε</t>
    </r>
    <r>
      <rPr>
        <vertAlign val="subscript"/>
        <sz val="11"/>
        <color theme="1"/>
        <rFont val="Calibri"/>
        <family val="2"/>
        <scheme val="minor"/>
      </rPr>
      <t>uk</t>
    </r>
  </si>
  <si>
    <t>EC2 - Annexe C, tableau C1</t>
  </si>
  <si>
    <t>déformation relative de l'acier sous charge maximale</t>
  </si>
  <si>
    <r>
      <t>ε</t>
    </r>
    <r>
      <rPr>
        <vertAlign val="subscript"/>
        <sz val="11"/>
        <color theme="1"/>
        <rFont val="Calibri"/>
        <family val="2"/>
        <scheme val="minor"/>
      </rPr>
      <t>ud</t>
    </r>
  </si>
  <si>
    <t>EC2 §3.2.7. (2b) note 1</t>
  </si>
  <si>
    <r>
      <t>k</t>
    </r>
    <r>
      <rPr>
        <vertAlign val="subscript"/>
        <sz val="11"/>
        <color theme="1"/>
        <rFont val="Calibri"/>
        <family val="2"/>
        <scheme val="minor"/>
      </rPr>
      <t>3</t>
    </r>
  </si>
  <si>
    <t xml:space="preserve">EC2 §7.2. (5) </t>
  </si>
  <si>
    <r>
      <rPr>
        <sz val="11"/>
        <color theme="1"/>
        <rFont val="Calibri"/>
        <family val="2"/>
      </rPr>
      <t>σ</t>
    </r>
    <r>
      <rPr>
        <vertAlign val="subscript"/>
        <sz val="11"/>
        <color theme="1"/>
        <rFont val="Calibri"/>
        <family val="2"/>
        <scheme val="minor"/>
      </rPr>
      <t>s</t>
    </r>
    <r>
      <rPr>
        <vertAlign val="superscript"/>
        <sz val="11"/>
        <color theme="1"/>
        <rFont val="Calibri"/>
        <family val="2"/>
        <scheme val="minor"/>
      </rPr>
      <t>barre</t>
    </r>
  </si>
  <si>
    <t>contrainte limite dans les aciers</t>
  </si>
  <si>
    <r>
      <t>σ</t>
    </r>
    <r>
      <rPr>
        <vertAlign val="subscript"/>
        <sz val="11"/>
        <color theme="1"/>
        <rFont val="Calibri"/>
        <family val="2"/>
        <scheme val="minor"/>
      </rPr>
      <t>s1,lim</t>
    </r>
  </si>
  <si>
    <t>[1] §2.4.2.1.Remarque</t>
  </si>
  <si>
    <r>
      <t xml:space="preserve"> Equation du palier incliné : </t>
    </r>
    <r>
      <rPr>
        <sz val="11"/>
        <color theme="1"/>
        <rFont val="Calibri"/>
        <family val="2"/>
      </rPr>
      <t>σ</t>
    </r>
    <r>
      <rPr>
        <i/>
        <vertAlign val="subscript"/>
        <sz val="11"/>
        <color theme="1"/>
        <rFont val="Calibri"/>
        <family val="2"/>
        <scheme val="minor"/>
      </rPr>
      <t>s</t>
    </r>
    <r>
      <rPr>
        <i/>
        <sz val="11"/>
        <color theme="1"/>
        <rFont val="Calibri"/>
        <family val="2"/>
        <scheme val="minor"/>
      </rPr>
      <t xml:space="preserve"> = t + u*ε</t>
    </r>
    <r>
      <rPr>
        <i/>
        <vertAlign val="subscript"/>
        <sz val="11"/>
        <color theme="1"/>
        <rFont val="Calibri"/>
        <family val="2"/>
        <scheme val="minor"/>
      </rPr>
      <t>s</t>
    </r>
  </si>
  <si>
    <t>t</t>
  </si>
  <si>
    <t>[1] Chap 3.  §2.4.2.1. Remarque</t>
  </si>
  <si>
    <t>u</t>
  </si>
  <si>
    <r>
      <t>φ</t>
    </r>
    <r>
      <rPr>
        <vertAlign val="subscript"/>
        <sz val="11"/>
        <color theme="1"/>
        <rFont val="Calibri"/>
        <family val="2"/>
      </rPr>
      <t>eq</t>
    </r>
  </si>
  <si>
    <t>EC2 7.3.4. (3) (7.12)</t>
  </si>
  <si>
    <t>Diamètre équivalent</t>
  </si>
  <si>
    <r>
      <t>α</t>
    </r>
    <r>
      <rPr>
        <vertAlign val="subscript"/>
        <sz val="11"/>
        <color theme="1"/>
        <rFont val="Calibri"/>
        <family val="2"/>
        <scheme val="minor"/>
      </rPr>
      <t>e</t>
    </r>
    <r>
      <rPr>
        <sz val="11"/>
        <color theme="1"/>
        <rFont val="Calibri"/>
        <family val="2"/>
        <scheme val="minor"/>
      </rPr>
      <t>(court terme):=E</t>
    </r>
    <r>
      <rPr>
        <vertAlign val="subscript"/>
        <sz val="11"/>
        <color theme="1"/>
        <rFont val="Calibri"/>
        <family val="2"/>
        <scheme val="minor"/>
      </rPr>
      <t>s</t>
    </r>
    <r>
      <rPr>
        <sz val="11"/>
        <color theme="1"/>
        <rFont val="Calibri"/>
        <family val="2"/>
        <scheme val="minor"/>
      </rPr>
      <t>/E</t>
    </r>
    <r>
      <rPr>
        <vertAlign val="subscript"/>
        <sz val="11"/>
        <color theme="1"/>
        <rFont val="Calibri"/>
        <family val="2"/>
        <scheme val="minor"/>
      </rPr>
      <t>cm</t>
    </r>
  </si>
  <si>
    <r>
      <t>d</t>
    </r>
    <r>
      <rPr>
        <vertAlign val="subscript"/>
        <sz val="11"/>
        <color theme="1"/>
        <rFont val="Calibri"/>
        <family val="2"/>
      </rPr>
      <t>G</t>
    </r>
  </si>
  <si>
    <r>
      <t>φ</t>
    </r>
    <r>
      <rPr>
        <vertAlign val="subscript"/>
        <sz val="11"/>
        <color theme="1"/>
        <rFont val="Calibri"/>
        <family val="2"/>
      </rPr>
      <t>max</t>
    </r>
  </si>
  <si>
    <t>EC2 §8.2 (2)</t>
  </si>
  <si>
    <r>
      <t>k</t>
    </r>
    <r>
      <rPr>
        <vertAlign val="subscript"/>
        <sz val="11"/>
        <color theme="1"/>
        <rFont val="Calibri"/>
        <family val="2"/>
        <scheme val="minor"/>
      </rPr>
      <t>2</t>
    </r>
  </si>
  <si>
    <r>
      <t>a</t>
    </r>
    <r>
      <rPr>
        <vertAlign val="subscript"/>
        <sz val="11"/>
        <color theme="1"/>
        <rFont val="Calibri"/>
        <family val="2"/>
        <scheme val="minor"/>
      </rPr>
      <t>min</t>
    </r>
  </si>
  <si>
    <t>γ=</t>
  </si>
  <si>
    <t>Palier incliné</t>
  </si>
  <si>
    <t>C12/15</t>
  </si>
  <si>
    <t>C16/20</t>
  </si>
  <si>
    <t>C20/25</t>
  </si>
  <si>
    <t>C25/30</t>
  </si>
  <si>
    <t>C30/37</t>
  </si>
  <si>
    <t>C35/45</t>
  </si>
  <si>
    <t>C40/50</t>
  </si>
  <si>
    <t>C45/55</t>
  </si>
  <si>
    <t>C50/60</t>
  </si>
  <si>
    <t>C55/67</t>
  </si>
  <si>
    <t>C60/75</t>
  </si>
  <si>
    <t>C70/85</t>
  </si>
  <si>
    <t>C80/95</t>
  </si>
  <si>
    <t>C90/105</t>
  </si>
  <si>
    <t xml:space="preserve">Ces calculs sont basés sur les organigrammes de [1] Chap 7. §9 </t>
  </si>
  <si>
    <t>Dimensionnement à l'ELU</t>
  </si>
  <si>
    <t>XD,XF,XS</t>
  </si>
  <si>
    <t>Aciers</t>
  </si>
  <si>
    <t>γ</t>
  </si>
  <si>
    <r>
      <t>α</t>
    </r>
    <r>
      <rPr>
        <b/>
        <vertAlign val="subscript"/>
        <sz val="11"/>
        <color theme="1"/>
        <rFont val="Calibri"/>
        <family val="2"/>
        <scheme val="minor"/>
      </rPr>
      <t>e</t>
    </r>
  </si>
  <si>
    <t>S 500</t>
  </si>
  <si>
    <t>K=</t>
  </si>
  <si>
    <r>
      <t>(A+B.α</t>
    </r>
    <r>
      <rPr>
        <vertAlign val="subscript"/>
        <sz val="11"/>
        <color theme="1"/>
        <rFont val="Calibri"/>
        <family val="2"/>
        <scheme val="minor"/>
      </rPr>
      <t>e</t>
    </r>
    <r>
      <rPr>
        <sz val="11"/>
        <color theme="1"/>
        <rFont val="Calibri"/>
        <family val="2"/>
        <scheme val="minor"/>
      </rPr>
      <t>+C.α</t>
    </r>
    <r>
      <rPr>
        <vertAlign val="subscript"/>
        <sz val="11"/>
        <color theme="1"/>
        <rFont val="Calibri"/>
        <family val="2"/>
        <scheme val="minor"/>
      </rPr>
      <t>e</t>
    </r>
    <r>
      <rPr>
        <vertAlign val="superscript"/>
        <sz val="11"/>
        <color theme="1"/>
        <rFont val="Calibri"/>
        <family val="2"/>
        <scheme val="minor"/>
      </rPr>
      <t>2</t>
    </r>
    <r>
      <rPr>
        <sz val="11"/>
        <color theme="1"/>
        <rFont val="Calibri"/>
        <family val="2"/>
        <scheme val="minor"/>
      </rPr>
      <t>).10</t>
    </r>
    <r>
      <rPr>
        <vertAlign val="superscript"/>
        <sz val="11"/>
        <color theme="1"/>
        <rFont val="Calibri"/>
        <family val="2"/>
        <scheme val="minor"/>
      </rPr>
      <t>-4</t>
    </r>
  </si>
  <si>
    <r>
      <rPr>
        <sz val="11"/>
        <color theme="1"/>
        <rFont val="Calibri"/>
        <family val="2"/>
      </rPr>
      <t>σ</t>
    </r>
    <r>
      <rPr>
        <vertAlign val="subscript"/>
        <sz val="11"/>
        <color theme="1"/>
        <rFont val="Calibri"/>
        <family val="2"/>
        <scheme val="minor"/>
      </rPr>
      <t>c</t>
    </r>
    <r>
      <rPr>
        <vertAlign val="superscript"/>
        <sz val="11"/>
        <color theme="1"/>
        <rFont val="Calibri"/>
        <family val="2"/>
        <scheme val="minor"/>
      </rPr>
      <t>barre</t>
    </r>
  </si>
  <si>
    <t>Contrainte limite dans le béton</t>
  </si>
  <si>
    <t>A=</t>
  </si>
  <si>
    <t>75,3.fck-189,8</t>
  </si>
  <si>
    <t>B=</t>
  </si>
  <si>
    <t>-5,6.fck+874,5</t>
  </si>
  <si>
    <r>
      <t>µ</t>
    </r>
    <r>
      <rPr>
        <b/>
        <vertAlign val="subscript"/>
        <sz val="11"/>
        <color theme="1"/>
        <rFont val="Calibri"/>
        <family val="2"/>
        <scheme val="minor"/>
      </rPr>
      <t>cu</t>
    </r>
  </si>
  <si>
    <t>C=</t>
  </si>
  <si>
    <t>0,04.fck-13</t>
  </si>
  <si>
    <r>
      <t>M</t>
    </r>
    <r>
      <rPr>
        <vertAlign val="subscript"/>
        <sz val="11"/>
        <color theme="1"/>
        <rFont val="Calibri"/>
        <family val="2"/>
        <scheme val="minor"/>
      </rPr>
      <t>tu</t>
    </r>
  </si>
  <si>
    <t>[1] Chap 7 §6.3.1. [7.52]</t>
  </si>
  <si>
    <t>Moment équilibré par la table de compression</t>
  </si>
  <si>
    <r>
      <t>µ</t>
    </r>
    <r>
      <rPr>
        <b/>
        <vertAlign val="subscript"/>
        <sz val="11"/>
        <color theme="1"/>
        <rFont val="Calibri"/>
        <family val="2"/>
        <scheme val="minor"/>
      </rPr>
      <t>lu</t>
    </r>
  </si>
  <si>
    <r>
      <t>b</t>
    </r>
    <r>
      <rPr>
        <vertAlign val="subscript"/>
        <sz val="11"/>
        <color theme="1"/>
        <rFont val="Calibri"/>
        <family val="2"/>
        <scheme val="minor"/>
      </rPr>
      <t>w,fin</t>
    </r>
  </si>
  <si>
    <t>[1] Chap 7 §6.3.2.</t>
  </si>
  <si>
    <t>bw retenu</t>
  </si>
  <si>
    <r>
      <t>α</t>
    </r>
    <r>
      <rPr>
        <vertAlign val="subscript"/>
        <sz val="11"/>
        <color theme="1"/>
        <rFont val="Calibri"/>
        <family val="2"/>
        <scheme val="minor"/>
      </rPr>
      <t>1</t>
    </r>
  </si>
  <si>
    <t>[1] Chap 7 §2.3.1.</t>
  </si>
  <si>
    <t>Rapport x1/d</t>
  </si>
  <si>
    <r>
      <t>µ</t>
    </r>
    <r>
      <rPr>
        <vertAlign val="subscript"/>
        <sz val="11"/>
        <color theme="1"/>
        <rFont val="Calibri"/>
        <family val="2"/>
        <scheme val="minor"/>
      </rPr>
      <t>lu</t>
    </r>
    <r>
      <rPr>
        <sz val="11"/>
        <color theme="1"/>
        <rFont val="Calibri"/>
        <family val="2"/>
        <scheme val="minor"/>
      </rPr>
      <t>(15)=</t>
    </r>
  </si>
  <si>
    <r>
      <t>M</t>
    </r>
    <r>
      <rPr>
        <vertAlign val="subscript"/>
        <sz val="11"/>
        <color theme="1"/>
        <rFont val="Calibri"/>
        <family val="2"/>
        <scheme val="minor"/>
      </rPr>
      <t>ELU1</t>
    </r>
  </si>
  <si>
    <t>[1] Chap 7 §6.3.2.2.</t>
  </si>
  <si>
    <t>Si MEd≥Mtu, moment repris par la section fictive de largeur bw</t>
  </si>
  <si>
    <r>
      <t>µ</t>
    </r>
    <r>
      <rPr>
        <b/>
        <vertAlign val="subscript"/>
        <sz val="11"/>
        <color theme="1"/>
        <rFont val="Calibri"/>
        <family val="2"/>
        <scheme val="minor"/>
      </rPr>
      <t>ls</t>
    </r>
  </si>
  <si>
    <r>
      <t>M</t>
    </r>
    <r>
      <rPr>
        <vertAlign val="subscript"/>
        <sz val="11"/>
        <color theme="1"/>
        <rFont val="Calibri"/>
        <family val="2"/>
        <scheme val="minor"/>
      </rPr>
      <t>ELUfin</t>
    </r>
  </si>
  <si>
    <t>Moment fléchissant agissant retenu</t>
  </si>
  <si>
    <t>[1] Chap 7 §2.3.1. Tableaux</t>
  </si>
  <si>
    <t>Moment limite ultime réduit</t>
  </si>
  <si>
    <t>Moment fléchissant agissant retenu réduit</t>
  </si>
  <si>
    <r>
      <t>M</t>
    </r>
    <r>
      <rPr>
        <vertAlign val="subscript"/>
        <sz val="11"/>
        <color theme="1"/>
        <rFont val="Calibri"/>
        <family val="2"/>
        <scheme val="minor"/>
      </rPr>
      <t>lu</t>
    </r>
  </si>
  <si>
    <t>Moment limite ultime</t>
  </si>
  <si>
    <r>
      <t>µ</t>
    </r>
    <r>
      <rPr>
        <vertAlign val="subscript"/>
        <sz val="11"/>
        <color theme="1"/>
        <rFont val="Calibri"/>
        <family val="2"/>
        <scheme val="minor"/>
      </rPr>
      <t>lu</t>
    </r>
    <r>
      <rPr>
        <sz val="11"/>
        <color theme="1"/>
        <rFont val="Calibri"/>
        <family val="2"/>
        <scheme val="minor"/>
      </rPr>
      <t>(α</t>
    </r>
    <r>
      <rPr>
        <vertAlign val="subscript"/>
        <sz val="11"/>
        <color theme="1"/>
        <rFont val="Calibri"/>
        <family val="2"/>
        <scheme val="minor"/>
      </rPr>
      <t>e</t>
    </r>
    <r>
      <rPr>
        <sz val="11"/>
        <color theme="1"/>
        <rFont val="Calibri"/>
        <family val="2"/>
        <scheme val="minor"/>
      </rPr>
      <t>)=</t>
    </r>
  </si>
  <si>
    <r>
      <t>µ</t>
    </r>
    <r>
      <rPr>
        <vertAlign val="subscript"/>
        <sz val="11"/>
        <color theme="1"/>
        <rFont val="Calibri"/>
        <family val="2"/>
        <scheme val="minor"/>
      </rPr>
      <t>lu</t>
    </r>
    <r>
      <rPr>
        <sz val="11"/>
        <color theme="1"/>
        <rFont val="Calibri"/>
        <family val="2"/>
        <scheme val="minor"/>
      </rPr>
      <t>(15).K</t>
    </r>
  </si>
  <si>
    <t>Palier horizontal</t>
  </si>
  <si>
    <t>[1] Chap 7 §2.4.</t>
  </si>
  <si>
    <t>palier horizontal</t>
  </si>
  <si>
    <r>
      <rPr>
        <sz val="11"/>
        <color theme="1"/>
        <rFont val="Calibri"/>
        <family val="2"/>
      </rPr>
      <t>σ</t>
    </r>
    <r>
      <rPr>
        <vertAlign val="subscript"/>
        <sz val="11"/>
        <color theme="1"/>
        <rFont val="Calibri"/>
        <family val="2"/>
        <scheme val="minor"/>
      </rPr>
      <t>s2,e</t>
    </r>
  </si>
  <si>
    <t>[1] Chap 7 §3.1.4.c)</t>
  </si>
  <si>
    <t>Si AcComprimés requis</t>
  </si>
  <si>
    <t>71,2.fck+108</t>
  </si>
  <si>
    <r>
      <t>σ</t>
    </r>
    <r>
      <rPr>
        <vertAlign val="subscript"/>
        <sz val="11"/>
        <color theme="1"/>
        <rFont val="Calibri"/>
        <family val="2"/>
        <scheme val="minor"/>
      </rPr>
      <t>s1,e</t>
    </r>
  </si>
  <si>
    <t>[1] Chap 7 §3.1.5.a) p.203</t>
  </si>
  <si>
    <r>
      <rPr>
        <sz val="11"/>
        <color theme="0" tint="-0.34998626667073579"/>
        <rFont val="Calibri"/>
        <family val="2"/>
      </rPr>
      <t>ε</t>
    </r>
    <r>
      <rPr>
        <vertAlign val="subscript"/>
        <sz val="11"/>
        <color theme="0" tint="-0.34998626667073579"/>
        <rFont val="Calibri"/>
        <family val="2"/>
        <scheme val="minor"/>
      </rPr>
      <t>s2,u</t>
    </r>
  </si>
  <si>
    <t>[1] Chap 7 §3.1.4.a)</t>
  </si>
  <si>
    <r>
      <t>α</t>
    </r>
    <r>
      <rPr>
        <vertAlign val="subscript"/>
        <sz val="11"/>
        <color theme="0" tint="-0.34998626667073579"/>
        <rFont val="Calibri"/>
        <family val="2"/>
        <scheme val="minor"/>
      </rPr>
      <t>1l</t>
    </r>
  </si>
  <si>
    <t>[1] Chap 7 §3.1.3</t>
  </si>
  <si>
    <t>-5,2.fck+847,4</t>
  </si>
  <si>
    <r>
      <t>A</t>
    </r>
    <r>
      <rPr>
        <b/>
        <vertAlign val="subscript"/>
        <sz val="11"/>
        <color theme="1"/>
        <rFont val="Calibri"/>
        <family val="2"/>
        <scheme val="minor"/>
      </rPr>
      <t>s2</t>
    </r>
  </si>
  <si>
    <r>
      <t>cm</t>
    </r>
    <r>
      <rPr>
        <b/>
        <vertAlign val="superscript"/>
        <sz val="11"/>
        <color theme="1"/>
        <rFont val="Calibri"/>
        <family val="2"/>
        <scheme val="minor"/>
      </rPr>
      <t>2</t>
    </r>
  </si>
  <si>
    <t>[1] Chap 7 §3.1.4.c) [7.30]</t>
  </si>
  <si>
    <t>Section d'aciers comprimés</t>
  </si>
  <si>
    <r>
      <t>Segment du point (ε</t>
    </r>
    <r>
      <rPr>
        <i/>
        <vertAlign val="subscript"/>
        <sz val="9"/>
        <color theme="0" tint="-0.34998626667073579"/>
        <rFont val="Calibri"/>
        <family val="2"/>
        <scheme val="minor"/>
      </rPr>
      <t>s2,u</t>
    </r>
    <r>
      <rPr>
        <i/>
        <sz val="9"/>
        <color theme="0" tint="-0.34998626667073579"/>
        <rFont val="Calibri"/>
        <family val="2"/>
        <scheme val="minor"/>
      </rPr>
      <t>;</t>
    </r>
    <r>
      <rPr>
        <i/>
        <sz val="9"/>
        <color theme="0" tint="-0.34998626667073579"/>
        <rFont val="Calibri"/>
        <family val="2"/>
      </rPr>
      <t>σ</t>
    </r>
    <r>
      <rPr>
        <i/>
        <vertAlign val="subscript"/>
        <sz val="9"/>
        <color theme="0" tint="-0.34998626667073579"/>
        <rFont val="Calibri"/>
        <family val="2"/>
        <scheme val="minor"/>
      </rPr>
      <t>s2,u</t>
    </r>
    <r>
      <rPr>
        <i/>
        <sz val="9"/>
        <color theme="0" tint="-0.34998626667073579"/>
        <rFont val="Calibri"/>
        <family val="2"/>
        <scheme val="minor"/>
      </rPr>
      <t>)</t>
    </r>
  </si>
  <si>
    <t>0,03.fck-12,5</t>
  </si>
  <si>
    <r>
      <rPr>
        <b/>
        <sz val="11"/>
        <color theme="1"/>
        <rFont val="Calibri"/>
        <family val="2"/>
        <scheme val="minor"/>
      </rPr>
      <t>µ</t>
    </r>
    <r>
      <rPr>
        <b/>
        <vertAlign val="subscript"/>
        <sz val="11"/>
        <color theme="1"/>
        <rFont val="Calibri"/>
        <family val="2"/>
        <scheme val="minor"/>
      </rPr>
      <t>cu,fin</t>
    </r>
  </si>
  <si>
    <t>Moment fléchissant agissant final</t>
  </si>
  <si>
    <r>
      <t>σ</t>
    </r>
    <r>
      <rPr>
        <vertAlign val="subscript"/>
        <sz val="11"/>
        <color theme="0" tint="-0.34998626667073579"/>
        <rFont val="Calibri"/>
        <family val="2"/>
        <scheme val="minor"/>
      </rPr>
      <t>s2,u</t>
    </r>
  </si>
  <si>
    <r>
      <t>σ</t>
    </r>
    <r>
      <rPr>
        <vertAlign val="subscript"/>
        <sz val="11"/>
        <color theme="0" tint="-0.34998626667073579"/>
        <rFont val="Calibri"/>
        <family val="2"/>
        <scheme val="minor"/>
      </rPr>
      <t>s2,ser</t>
    </r>
  </si>
  <si>
    <t>[1] Chap 7 §3.1.4.b)</t>
  </si>
  <si>
    <r>
      <t>M</t>
    </r>
    <r>
      <rPr>
        <vertAlign val="subscript"/>
        <sz val="11"/>
        <color theme="1"/>
        <rFont val="Calibri"/>
        <family val="2"/>
        <scheme val="minor"/>
      </rPr>
      <t>ELUfinfin</t>
    </r>
  </si>
  <si>
    <t>Moment fléchissant agissant retenu final</t>
  </si>
  <si>
    <r>
      <t>σ</t>
    </r>
    <r>
      <rPr>
        <vertAlign val="subscript"/>
        <sz val="11"/>
        <color theme="0" tint="-0.34998626667073579"/>
        <rFont val="Calibri"/>
        <family val="2"/>
        <scheme val="minor"/>
      </rPr>
      <t>s1</t>
    </r>
  </si>
  <si>
    <r>
      <t>σ</t>
    </r>
    <r>
      <rPr>
        <vertAlign val="subscript"/>
        <sz val="11"/>
        <color theme="0" tint="-0.34998626667073579"/>
        <rFont val="Calibri"/>
        <family val="2"/>
        <scheme val="minor"/>
      </rPr>
      <t>s1,ser</t>
    </r>
  </si>
  <si>
    <r>
      <rPr>
        <sz val="11"/>
        <color theme="1"/>
        <rFont val="Calibri"/>
        <family val="2"/>
      </rPr>
      <t>α</t>
    </r>
    <r>
      <rPr>
        <vertAlign val="subscript"/>
        <sz val="11"/>
        <color theme="1"/>
        <rFont val="Calibri"/>
        <family val="2"/>
        <scheme val="minor"/>
      </rPr>
      <t>u</t>
    </r>
  </si>
  <si>
    <t>[1] Chap 7 §2.1.5.</t>
  </si>
  <si>
    <t>Rapport analogue à α1</t>
  </si>
  <si>
    <r>
      <t>α</t>
    </r>
    <r>
      <rPr>
        <vertAlign val="subscript"/>
        <sz val="11"/>
        <color theme="1"/>
        <rFont val="Calibri"/>
        <family val="2"/>
        <scheme val="minor"/>
      </rPr>
      <t>AB</t>
    </r>
  </si>
  <si>
    <t>[1] Chap 7 §2.1.3.</t>
  </si>
  <si>
    <t>Rapport analogue à α1 correspondant à la limite entre pivots A et B</t>
  </si>
  <si>
    <r>
      <t>µ</t>
    </r>
    <r>
      <rPr>
        <b/>
        <vertAlign val="subscript"/>
        <sz val="11"/>
        <color theme="1"/>
        <rFont val="Calibri"/>
        <family val="2"/>
        <scheme val="minor"/>
      </rPr>
      <t>AB</t>
    </r>
  </si>
  <si>
    <t xml:space="preserve">[1] Chap 7 §2.1.3.[7.14] </t>
  </si>
  <si>
    <t>Moment frontière AB réduit</t>
  </si>
  <si>
    <t>X0,XC,XA</t>
  </si>
  <si>
    <t xml:space="preserve">Pivot </t>
  </si>
  <si>
    <r>
      <t>µ</t>
    </r>
    <r>
      <rPr>
        <vertAlign val="subscript"/>
        <sz val="11"/>
        <color theme="1"/>
        <rFont val="Calibri"/>
        <family val="2"/>
        <scheme val="minor"/>
      </rPr>
      <t>ls</t>
    </r>
  </si>
  <si>
    <t>λ*α1*(1-λ/2*α1)</t>
  </si>
  <si>
    <r>
      <t>ε</t>
    </r>
    <r>
      <rPr>
        <vertAlign val="subscript"/>
        <sz val="11"/>
        <color theme="1"/>
        <rFont val="Calibri"/>
        <family val="2"/>
        <scheme val="minor"/>
      </rPr>
      <t>s1</t>
    </r>
  </si>
  <si>
    <t>déformation relative des aciers tendus</t>
  </si>
  <si>
    <r>
      <t>Segment du point (ε</t>
    </r>
    <r>
      <rPr>
        <i/>
        <vertAlign val="subscript"/>
        <sz val="11"/>
        <color theme="1"/>
        <rFont val="Calibri"/>
        <family val="2"/>
        <scheme val="minor"/>
      </rPr>
      <t>s1</t>
    </r>
    <r>
      <rPr>
        <i/>
        <sz val="11"/>
        <color theme="1"/>
        <rFont val="Calibri"/>
        <family val="2"/>
        <scheme val="minor"/>
      </rPr>
      <t>;</t>
    </r>
    <r>
      <rPr>
        <i/>
        <sz val="11"/>
        <color theme="1"/>
        <rFont val="Calibri"/>
        <family val="2"/>
      </rPr>
      <t>σ</t>
    </r>
    <r>
      <rPr>
        <i/>
        <vertAlign val="subscript"/>
        <sz val="11"/>
        <color theme="1"/>
        <rFont val="Calibri"/>
        <family val="2"/>
        <scheme val="minor"/>
      </rPr>
      <t>s1</t>
    </r>
    <r>
      <rPr>
        <i/>
        <sz val="11"/>
        <color theme="1"/>
        <rFont val="Calibri"/>
        <family val="2"/>
        <scheme val="minor"/>
      </rPr>
      <t>)</t>
    </r>
  </si>
  <si>
    <t>[1] Chap 3. §2.4.2.1. Remarque</t>
  </si>
  <si>
    <r>
      <t>σ</t>
    </r>
    <r>
      <rPr>
        <vertAlign val="subscript"/>
        <sz val="11"/>
        <color theme="1"/>
        <rFont val="Calibri"/>
        <family val="2"/>
        <scheme val="minor"/>
      </rPr>
      <t>s1</t>
    </r>
  </si>
  <si>
    <t>contraintes dans les aciers tendus</t>
  </si>
  <si>
    <r>
      <t>z</t>
    </r>
    <r>
      <rPr>
        <vertAlign val="subscript"/>
        <sz val="11"/>
        <color theme="1"/>
        <rFont val="Calibri"/>
        <family val="2"/>
        <scheme val="minor"/>
      </rPr>
      <t>c</t>
    </r>
  </si>
  <si>
    <t xml:space="preserve">Bras de levier </t>
  </si>
  <si>
    <r>
      <t>A</t>
    </r>
    <r>
      <rPr>
        <b/>
        <vertAlign val="subscript"/>
        <sz val="11"/>
        <color theme="1"/>
        <rFont val="Calibri"/>
        <family val="2"/>
        <scheme val="minor"/>
      </rPr>
      <t>s1,u,test</t>
    </r>
  </si>
  <si>
    <t>[1] Chap 7 §6.3.2.2. [7.53]</t>
  </si>
  <si>
    <t>Section d'armatures tendues à tester</t>
  </si>
  <si>
    <t>Vérifications à l'ELS</t>
  </si>
  <si>
    <t>Ouverture de fissures</t>
  </si>
  <si>
    <r>
      <t>A</t>
    </r>
    <r>
      <rPr>
        <vertAlign val="subscript"/>
        <sz val="11"/>
        <color theme="1"/>
        <rFont val="Calibri"/>
        <family val="2"/>
        <scheme val="minor"/>
      </rPr>
      <t>ch</t>
    </r>
  </si>
  <si>
    <t>[1]Chap.7  §8.2.</t>
  </si>
  <si>
    <t>Caractéristiques gérométriques de la section homogène</t>
  </si>
  <si>
    <r>
      <t>h</t>
    </r>
    <r>
      <rPr>
        <vertAlign val="subscript"/>
        <sz val="11"/>
        <color theme="1"/>
        <rFont val="Calibri"/>
        <family val="2"/>
        <scheme val="minor"/>
      </rPr>
      <t>c,ef</t>
    </r>
  </si>
  <si>
    <t>EC2 7.3.4. (2) (7.10)</t>
  </si>
  <si>
    <t>hauteur de l'aire Ac,eff</t>
  </si>
  <si>
    <t>v'</t>
  </si>
  <si>
    <r>
      <t>A</t>
    </r>
    <r>
      <rPr>
        <vertAlign val="subscript"/>
        <sz val="11"/>
        <color theme="1"/>
        <rFont val="Calibri"/>
        <family val="2"/>
        <scheme val="minor"/>
      </rPr>
      <t>c,eff</t>
    </r>
  </si>
  <si>
    <t>aire de section effective de béton autour des armatures tendues</t>
  </si>
  <si>
    <t>v</t>
  </si>
  <si>
    <r>
      <rPr>
        <sz val="11"/>
        <color theme="1"/>
        <rFont val="Calibri"/>
        <family val="2"/>
      </rPr>
      <t>ρ</t>
    </r>
    <r>
      <rPr>
        <vertAlign val="subscript"/>
        <sz val="11"/>
        <color theme="1"/>
        <rFont val="Calibri"/>
        <family val="2"/>
      </rPr>
      <t>P,eff</t>
    </r>
  </si>
  <si>
    <r>
      <t>I</t>
    </r>
    <r>
      <rPr>
        <vertAlign val="subscript"/>
        <sz val="11"/>
        <color theme="1"/>
        <rFont val="Calibri"/>
        <family val="2"/>
        <scheme val="minor"/>
      </rPr>
      <t>ch</t>
    </r>
  </si>
  <si>
    <r>
      <t>cm</t>
    </r>
    <r>
      <rPr>
        <vertAlign val="superscript"/>
        <sz val="11"/>
        <color theme="1"/>
        <rFont val="Calibri"/>
        <family val="2"/>
        <scheme val="minor"/>
      </rPr>
      <t>4</t>
    </r>
  </si>
  <si>
    <t>EC2 - 7.3.4.(3)</t>
  </si>
  <si>
    <t xml:space="preserve">coefficients tenant compte : 1) des propriétés d'adhérence des 
armatures adhérentes ; 2) de la distribution des déformations ; 3) </t>
  </si>
  <si>
    <r>
      <t>σ</t>
    </r>
    <r>
      <rPr>
        <vertAlign val="subscript"/>
        <sz val="11"/>
        <color theme="1"/>
        <rFont val="Calibri"/>
        <family val="2"/>
      </rPr>
      <t>ct</t>
    </r>
  </si>
  <si>
    <r>
      <t>k</t>
    </r>
    <r>
      <rPr>
        <vertAlign val="subscript"/>
        <sz val="11"/>
        <color theme="1"/>
        <rFont val="Calibri"/>
        <family val="2"/>
        <scheme val="minor"/>
      </rPr>
      <t>2</t>
    </r>
    <r>
      <rPr>
        <sz val="11"/>
        <color theme="1"/>
        <rFont val="Calibri"/>
        <family val="2"/>
        <scheme val="minor"/>
      </rPr>
      <t/>
    </r>
  </si>
  <si>
    <r>
      <t>k</t>
    </r>
    <r>
      <rPr>
        <vertAlign val="subscript"/>
        <sz val="11"/>
        <color theme="1"/>
        <rFont val="Calibri"/>
        <family val="2"/>
        <scheme val="minor"/>
      </rPr>
      <t>3</t>
    </r>
    <r>
      <rPr>
        <sz val="11"/>
        <color theme="1"/>
        <rFont val="Calibri"/>
        <family val="2"/>
        <scheme val="minor"/>
      </rPr>
      <t/>
    </r>
  </si>
  <si>
    <t>On considère 
une section</t>
  </si>
  <si>
    <r>
      <t>k</t>
    </r>
    <r>
      <rPr>
        <vertAlign val="subscript"/>
        <sz val="11"/>
        <color theme="1"/>
        <rFont val="Calibri"/>
        <family val="2"/>
        <scheme val="minor"/>
      </rPr>
      <t>4</t>
    </r>
    <r>
      <rPr>
        <sz val="11"/>
        <color theme="1"/>
        <rFont val="Calibri"/>
        <family val="2"/>
        <scheme val="minor"/>
      </rPr>
      <t/>
    </r>
  </si>
  <si>
    <t>EN-1992-2 / NA 
Tableau 7.101 NF</t>
  </si>
  <si>
    <t>EN-1992-1-1 / NA
Tableau 7.1 NF</t>
  </si>
  <si>
    <r>
      <t>k</t>
    </r>
    <r>
      <rPr>
        <vertAlign val="subscript"/>
        <sz val="11"/>
        <color theme="1"/>
        <rFont val="Calibri"/>
        <family val="2"/>
        <scheme val="minor"/>
      </rPr>
      <t>t</t>
    </r>
  </si>
  <si>
    <t xml:space="preserve">EC2 7.3.4. (2) </t>
  </si>
  <si>
    <t>facteur dépendant de la durée de charge
(0,6 pour courte durée, 0,4 pour longue durée)</t>
  </si>
  <si>
    <t>Ouvertures des fissures max</t>
  </si>
  <si>
    <r>
      <t>w</t>
    </r>
    <r>
      <rPr>
        <vertAlign val="subscript"/>
        <sz val="11"/>
        <color theme="1"/>
        <rFont val="Calibri"/>
        <family val="2"/>
        <scheme val="minor"/>
      </rPr>
      <t>max</t>
    </r>
    <r>
      <rPr>
        <sz val="11"/>
        <color theme="1"/>
        <rFont val="Calibri"/>
        <family val="2"/>
        <scheme val="minor"/>
      </rPr>
      <t>(mm), Annexe Nationale (Ouvrages d'art)</t>
    </r>
  </si>
  <si>
    <r>
      <t>w</t>
    </r>
    <r>
      <rPr>
        <vertAlign val="subscript"/>
        <sz val="11"/>
        <color theme="1"/>
        <rFont val="Calibri"/>
        <family val="2"/>
        <scheme val="minor"/>
      </rPr>
      <t>max</t>
    </r>
    <r>
      <rPr>
        <sz val="11"/>
        <color theme="1"/>
        <rFont val="Calibri"/>
        <family val="2"/>
        <scheme val="minor"/>
      </rPr>
      <t>(mm),Annexe Nationale (Bâtiments)</t>
    </r>
  </si>
  <si>
    <t xml:space="preserve">Fissurée </t>
  </si>
  <si>
    <t xml:space="preserve">Non fissurée </t>
  </si>
  <si>
    <t>X0,XC1</t>
  </si>
  <si>
    <r>
      <t>f(h</t>
    </r>
    <r>
      <rPr>
        <vertAlign val="subscript"/>
        <sz val="11"/>
        <color theme="1"/>
        <rFont val="Calibri"/>
        <family val="2"/>
      </rPr>
      <t>f</t>
    </r>
    <r>
      <rPr>
        <sz val="11"/>
        <color theme="1"/>
        <rFont val="Calibri"/>
        <family val="2"/>
      </rPr>
      <t>)</t>
    </r>
  </si>
  <si>
    <r>
      <t>cm</t>
    </r>
    <r>
      <rPr>
        <vertAlign val="superscript"/>
        <sz val="11"/>
        <color theme="1"/>
        <rFont val="Calibri"/>
        <family val="2"/>
        <scheme val="minor"/>
      </rPr>
      <t>3</t>
    </r>
  </si>
  <si>
    <t>[1]Chap.7  §8.3.1.</t>
  </si>
  <si>
    <r>
      <t>σ</t>
    </r>
    <r>
      <rPr>
        <b/>
        <vertAlign val="subscript"/>
        <sz val="11"/>
        <color theme="1"/>
        <rFont val="Calibri"/>
        <family val="2"/>
        <scheme val="minor"/>
      </rPr>
      <t>c</t>
    </r>
  </si>
  <si>
    <t>[1]Chap.7 §8.2.</t>
  </si>
  <si>
    <t>XC2,3,4</t>
  </si>
  <si>
    <t>└&gt;</t>
  </si>
  <si>
    <r>
      <t>σ</t>
    </r>
    <r>
      <rPr>
        <b/>
        <vertAlign val="subscript"/>
        <sz val="11"/>
        <color theme="1"/>
        <rFont val="Calibri"/>
        <family val="2"/>
        <scheme val="minor"/>
      </rPr>
      <t>s2</t>
    </r>
  </si>
  <si>
    <r>
      <t>s</t>
    </r>
    <r>
      <rPr>
        <vertAlign val="subscript"/>
        <sz val="11"/>
        <color theme="1"/>
        <rFont val="Calibri"/>
        <family val="2"/>
        <scheme val="minor"/>
      </rPr>
      <t>r,max</t>
    </r>
  </si>
  <si>
    <t>EC2 7.3.4. (3) (7.11) 
et (7.14)</t>
  </si>
  <si>
    <t>espacement maximal des fissures</t>
  </si>
  <si>
    <t>XD,XS</t>
  </si>
  <si>
    <t>[1]Chap.7  §8.3.2.</t>
  </si>
  <si>
    <r>
      <t>σ</t>
    </r>
    <r>
      <rPr>
        <b/>
        <vertAlign val="subscript"/>
        <sz val="11"/>
        <color theme="1"/>
        <rFont val="Calibri"/>
        <family val="2"/>
        <scheme val="minor"/>
      </rPr>
      <t>s1</t>
    </r>
  </si>
  <si>
    <r>
      <t>ε</t>
    </r>
    <r>
      <rPr>
        <vertAlign val="subscript"/>
        <sz val="11"/>
        <color theme="1"/>
        <rFont val="Calibri"/>
        <family val="2"/>
      </rPr>
      <t>s</t>
    </r>
    <r>
      <rPr>
        <sz val="11"/>
        <color theme="1"/>
        <rFont val="Calibri"/>
        <family val="2"/>
      </rPr>
      <t>-ε</t>
    </r>
    <r>
      <rPr>
        <vertAlign val="subscript"/>
        <sz val="11"/>
        <color theme="1"/>
        <rFont val="Calibri"/>
        <family val="2"/>
      </rPr>
      <t>cm</t>
    </r>
  </si>
  <si>
    <t>EC2 7.3.4. (2) (7.9)</t>
  </si>
  <si>
    <t>XF,XA</t>
  </si>
  <si>
    <t>A fixer dans les documents particuliers du marché</t>
  </si>
  <si>
    <r>
      <t>b</t>
    </r>
    <r>
      <rPr>
        <vertAlign val="subscript"/>
        <sz val="11"/>
        <color theme="1"/>
        <rFont val="Calibri"/>
        <family val="2"/>
        <scheme val="minor"/>
      </rPr>
      <t>eff,fin</t>
    </r>
  </si>
  <si>
    <r>
      <t>w</t>
    </r>
    <r>
      <rPr>
        <b/>
        <vertAlign val="subscript"/>
        <sz val="11"/>
        <color theme="1"/>
        <rFont val="Calibri"/>
        <family val="2"/>
        <scheme val="minor"/>
      </rPr>
      <t>k</t>
    </r>
  </si>
  <si>
    <r>
      <t>w</t>
    </r>
    <r>
      <rPr>
        <b/>
        <vertAlign val="subscript"/>
        <sz val="11"/>
        <color theme="1"/>
        <rFont val="Calibri"/>
        <family val="2"/>
        <scheme val="minor"/>
      </rPr>
      <t>k,max</t>
    </r>
  </si>
  <si>
    <t>EC2 7.3.4. (1) (7.8)</t>
  </si>
  <si>
    <t>a</t>
  </si>
  <si>
    <t>[1]Chap.7  §8.3.2.1.</t>
  </si>
  <si>
    <r>
      <t>Résolution de l'équation des moments statiques :
b</t>
    </r>
    <r>
      <rPr>
        <vertAlign val="subscript"/>
        <sz val="8"/>
        <color theme="3" tint="-0.24994659260841701"/>
        <rFont val="Calibri"/>
        <family val="2"/>
        <scheme val="minor"/>
      </rPr>
      <t>w</t>
    </r>
    <r>
      <rPr>
        <sz val="8"/>
        <color theme="3" tint="-0.24994659260841701"/>
        <rFont val="Calibri"/>
        <family val="2"/>
        <scheme val="minor"/>
      </rPr>
      <t>x</t>
    </r>
    <r>
      <rPr>
        <vertAlign val="subscript"/>
        <sz val="8"/>
        <color theme="3" tint="-0.24994659260841701"/>
        <rFont val="Calibri"/>
        <family val="2"/>
        <scheme val="minor"/>
      </rPr>
      <t>1</t>
    </r>
    <r>
      <rPr>
        <vertAlign val="superscript"/>
        <sz val="8"/>
        <color theme="3" tint="-0.24994659260841701"/>
        <rFont val="Calibri"/>
        <family val="2"/>
        <scheme val="minor"/>
      </rPr>
      <t>2</t>
    </r>
    <r>
      <rPr>
        <sz val="8"/>
        <color theme="3" tint="-0.24994659260841701"/>
        <rFont val="Calibri"/>
        <family val="2"/>
        <scheme val="minor"/>
      </rPr>
      <t>/2+α</t>
    </r>
    <r>
      <rPr>
        <vertAlign val="subscript"/>
        <sz val="8"/>
        <color theme="3" tint="-0.24994659260841701"/>
        <rFont val="Calibri"/>
        <family val="2"/>
        <scheme val="minor"/>
      </rPr>
      <t>e</t>
    </r>
    <r>
      <rPr>
        <sz val="8"/>
        <color theme="3" tint="-0.24994659260841701"/>
        <rFont val="Calibri"/>
        <family val="2"/>
        <scheme val="minor"/>
      </rPr>
      <t>A</t>
    </r>
    <r>
      <rPr>
        <vertAlign val="subscript"/>
        <sz val="8"/>
        <color theme="3" tint="-0.24994659260841701"/>
        <rFont val="Calibri"/>
        <family val="2"/>
        <scheme val="minor"/>
      </rPr>
      <t>s2</t>
    </r>
    <r>
      <rPr>
        <sz val="8"/>
        <color theme="3" tint="-0.24994659260841701"/>
        <rFont val="Calibri"/>
        <family val="2"/>
        <scheme val="minor"/>
      </rPr>
      <t>(x</t>
    </r>
    <r>
      <rPr>
        <vertAlign val="subscript"/>
        <sz val="8"/>
        <color theme="3" tint="-0.24994659260841701"/>
        <rFont val="Calibri"/>
        <family val="2"/>
        <scheme val="minor"/>
      </rPr>
      <t>1</t>
    </r>
    <r>
      <rPr>
        <sz val="8"/>
        <color theme="3" tint="-0.24994659260841701"/>
        <rFont val="Calibri"/>
        <family val="2"/>
        <scheme val="minor"/>
      </rPr>
      <t>-d')=α</t>
    </r>
    <r>
      <rPr>
        <vertAlign val="subscript"/>
        <sz val="8"/>
        <color theme="3" tint="-0.24994659260841701"/>
        <rFont val="Calibri"/>
        <family val="2"/>
        <scheme val="minor"/>
      </rPr>
      <t>e</t>
    </r>
    <r>
      <rPr>
        <sz val="8"/>
        <color theme="3" tint="-0.24994659260841701"/>
        <rFont val="Calibri"/>
        <family val="2"/>
        <scheme val="minor"/>
      </rPr>
      <t>A</t>
    </r>
    <r>
      <rPr>
        <vertAlign val="subscript"/>
        <sz val="8"/>
        <color theme="3" tint="-0.24994659260841701"/>
        <rFont val="Calibri"/>
        <family val="2"/>
        <scheme val="minor"/>
      </rPr>
      <t>s1</t>
    </r>
    <r>
      <rPr>
        <sz val="8"/>
        <color theme="3" tint="-0.24994659260841701"/>
        <rFont val="Calibri"/>
        <family val="2"/>
        <scheme val="minor"/>
      </rPr>
      <t>(d-x</t>
    </r>
    <r>
      <rPr>
        <vertAlign val="subscript"/>
        <sz val="8"/>
        <color theme="3" tint="-0.24994659260841701"/>
        <rFont val="Calibri"/>
        <family val="2"/>
        <scheme val="minor"/>
      </rPr>
      <t>1</t>
    </r>
    <r>
      <rPr>
        <sz val="8"/>
        <color theme="3" tint="-0.24994659260841701"/>
        <rFont val="Calibri"/>
        <family val="2"/>
        <scheme val="minor"/>
      </rPr>
      <t>), 
pour trouver x1</t>
    </r>
  </si>
  <si>
    <t>b</t>
  </si>
  <si>
    <t>c</t>
  </si>
  <si>
    <t>Δ</t>
  </si>
  <si>
    <t>x1</t>
  </si>
  <si>
    <t>Distance axe neutre-fibre comprimée</t>
  </si>
  <si>
    <r>
      <t>I</t>
    </r>
    <r>
      <rPr>
        <vertAlign val="subscript"/>
        <sz val="11"/>
        <color theme="1"/>
        <rFont val="Calibri"/>
        <family val="2"/>
        <scheme val="minor"/>
      </rPr>
      <t>cf</t>
    </r>
  </si>
  <si>
    <t>K</t>
  </si>
  <si>
    <t>Mpa/m</t>
  </si>
  <si>
    <t>Rapport Mser/Icf</t>
  </si>
  <si>
    <t>Contraintes dans : 1) le béton ; 
2) les armatures comprimées ; 3) les aciers tendus</t>
  </si>
  <si>
    <t xml:space="preserve">Finalement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</si>
</sst>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000"/>
    <numFmt numFmtId="165" formatCode="0.000"/>
    <numFmt numFmtId="166" formatCode="0.0"/>
    <numFmt numFmtId="167" formatCode="0.00000"/>
    <numFmt numFmtId="168" formatCode="0.000E+00"/>
    <numFmt numFmtId="169" formatCode="0.00&quot;m&quot;"/>
  </numFmts>
  <fonts count="87">
    <font>
      <sz val="11"/>
      <color theme="1"/>
      <name val="Calibri"/>
      <family val="2"/>
      <scheme val="minor"/>
    </font>
    <font>
      <b/>
      <sz val="11"/>
      <color theme="1"/>
      <name val="Calibri"/>
      <family val="2"/>
      <scheme val="minor"/>
    </font>
    <font>
      <sz val="8"/>
      <color theme="1"/>
      <name val="Calibri"/>
      <family val="2"/>
      <scheme val="minor"/>
    </font>
    <font>
      <i/>
      <sz val="11"/>
      <color theme="1"/>
      <name val="Calibri"/>
      <family val="2"/>
      <scheme val="minor"/>
    </font>
    <font>
      <vertAlign val="subscript"/>
      <sz val="11"/>
      <color theme="1"/>
      <name val="Calibri"/>
      <family val="2"/>
      <scheme val="minor"/>
    </font>
    <font>
      <vertAlign val="superscript"/>
      <sz val="11"/>
      <color theme="1"/>
      <name val="Calibri"/>
      <family val="2"/>
      <scheme val="minor"/>
    </font>
    <font>
      <sz val="11"/>
      <color theme="1"/>
      <name val="Calibri"/>
      <family val="2"/>
    </font>
    <font>
      <i/>
      <vertAlign val="subscript"/>
      <sz val="11"/>
      <color theme="1"/>
      <name val="Calibri"/>
      <family val="2"/>
      <scheme val="minor"/>
    </font>
    <font>
      <b/>
      <sz val="16"/>
      <color theme="1"/>
      <name val="Calibri"/>
      <family val="2"/>
      <scheme val="minor"/>
    </font>
    <font>
      <sz val="11"/>
      <color theme="0" tint="-0.34998626667073579"/>
      <name val="Calibri"/>
      <family val="2"/>
      <scheme val="minor"/>
    </font>
    <font>
      <b/>
      <vertAlign val="subscript"/>
      <sz val="11"/>
      <color theme="1"/>
      <name val="Calibri"/>
      <family val="2"/>
      <scheme val="minor"/>
    </font>
    <font>
      <sz val="11"/>
      <color theme="0"/>
      <name val="Calibri"/>
      <family val="2"/>
      <scheme val="minor"/>
    </font>
    <font>
      <sz val="11"/>
      <color theme="0" tint="-0.499984740745262"/>
      <name val="Calibri"/>
      <family val="2"/>
      <scheme val="minor"/>
    </font>
    <font>
      <b/>
      <vertAlign val="superscript"/>
      <sz val="11"/>
      <color theme="1"/>
      <name val="Calibri"/>
      <family val="2"/>
      <scheme val="minor"/>
    </font>
    <font>
      <i/>
      <sz val="14"/>
      <color theme="1"/>
      <name val="Calibri"/>
      <family val="2"/>
      <scheme val="minor"/>
    </font>
    <font>
      <i/>
      <sz val="11"/>
      <color theme="1"/>
      <name val="Calibri"/>
      <family val="2"/>
    </font>
    <font>
      <sz val="9"/>
      <color indexed="81"/>
      <name val="Tahoma"/>
      <family val="2"/>
    </font>
    <font>
      <b/>
      <sz val="9"/>
      <color indexed="81"/>
      <name val="Tahoma"/>
      <family val="2"/>
    </font>
    <font>
      <sz val="11"/>
      <color rgb="FFFF0000"/>
      <name val="Calibri"/>
      <family val="2"/>
      <scheme val="minor"/>
    </font>
    <font>
      <sz val="8"/>
      <color theme="0"/>
      <name val="Calibri"/>
      <family val="2"/>
      <scheme val="minor"/>
    </font>
    <font>
      <vertAlign val="subscript"/>
      <sz val="11"/>
      <color theme="1"/>
      <name val="Calibri"/>
      <family val="2"/>
    </font>
    <font>
      <sz val="8"/>
      <color rgb="FFFF0000"/>
      <name val="Calibri"/>
      <family val="2"/>
      <scheme val="minor"/>
    </font>
    <font>
      <i/>
      <sz val="9"/>
      <color indexed="81"/>
      <name val="Tahoma"/>
      <family val="2"/>
    </font>
    <font>
      <vertAlign val="subscript"/>
      <sz val="9"/>
      <color indexed="81"/>
      <name val="Tahoma"/>
      <family val="2"/>
    </font>
    <font>
      <sz val="11"/>
      <color theme="0" tint="-0.34998626667073579"/>
      <name val="Calibri"/>
      <family val="2"/>
    </font>
    <font>
      <vertAlign val="subscript"/>
      <sz val="11"/>
      <color theme="0" tint="-0.34998626667073579"/>
      <name val="Calibri"/>
      <family val="2"/>
      <scheme val="minor"/>
    </font>
    <font>
      <sz val="8"/>
      <color theme="0" tint="-0.34998626667073579"/>
      <name val="Calibri"/>
      <family val="2"/>
      <scheme val="minor"/>
    </font>
    <font>
      <i/>
      <sz val="9"/>
      <color theme="0" tint="-0.34998626667073579"/>
      <name val="Calibri"/>
      <family val="2"/>
      <scheme val="minor"/>
    </font>
    <font>
      <i/>
      <vertAlign val="subscript"/>
      <sz val="9"/>
      <color theme="0" tint="-0.34998626667073579"/>
      <name val="Calibri"/>
      <family val="2"/>
      <scheme val="minor"/>
    </font>
    <font>
      <i/>
      <sz val="9"/>
      <color theme="0" tint="-0.34998626667073579"/>
      <name val="Calibri"/>
      <family val="2"/>
    </font>
    <font>
      <sz val="11"/>
      <color theme="0" tint="-0.249977111117893"/>
      <name val="Calibri"/>
      <family val="2"/>
      <scheme val="minor"/>
    </font>
    <font>
      <sz val="11"/>
      <color theme="0" tint="-0.249977111117893"/>
      <name val="Calibri"/>
      <family val="2"/>
    </font>
    <font>
      <vertAlign val="subscript"/>
      <sz val="11"/>
      <color theme="0" tint="-0.249977111117893"/>
      <name val="Calibri"/>
      <family val="2"/>
    </font>
    <font>
      <b/>
      <sz val="12"/>
      <color theme="3" tint="-0.249977111117893"/>
      <name val="Calibri"/>
      <family val="2"/>
      <scheme val="minor"/>
    </font>
    <font>
      <b/>
      <sz val="18"/>
      <color theme="3" tint="-0.249977111117893"/>
      <name val="Calibri"/>
      <family val="2"/>
      <scheme val="minor"/>
    </font>
    <font>
      <sz val="11"/>
      <color theme="3" tint="-0.249977111117893"/>
      <name val="Calibri"/>
      <family val="2"/>
      <scheme val="minor"/>
    </font>
    <font>
      <b/>
      <sz val="11"/>
      <color theme="3" tint="-0.249977111117893"/>
      <name val="Calibri"/>
      <family val="2"/>
      <scheme val="minor"/>
    </font>
    <font>
      <sz val="10"/>
      <color theme="3" tint="-0.249977111117893"/>
      <name val="Calibri"/>
      <family val="2"/>
      <scheme val="minor"/>
    </font>
    <font>
      <vertAlign val="subscript"/>
      <sz val="11"/>
      <color theme="3" tint="-0.249977111117893"/>
      <name val="Calibri"/>
      <family val="2"/>
      <scheme val="minor"/>
    </font>
    <font>
      <sz val="8"/>
      <color theme="3" tint="-0.249977111117893"/>
      <name val="Calibri"/>
      <family val="2"/>
      <scheme val="minor"/>
    </font>
    <font>
      <sz val="11"/>
      <color theme="3" tint="-0.249977111117893"/>
      <name val="Calibri"/>
      <family val="2"/>
    </font>
    <font>
      <b/>
      <vertAlign val="subscript"/>
      <sz val="11"/>
      <color theme="3" tint="-0.249977111117893"/>
      <name val="Calibri"/>
      <family val="2"/>
      <scheme val="minor"/>
    </font>
    <font>
      <b/>
      <vertAlign val="superscript"/>
      <sz val="11"/>
      <color theme="3" tint="-0.249977111117893"/>
      <name val="Calibri"/>
      <family val="2"/>
      <scheme val="minor"/>
    </font>
    <font>
      <vertAlign val="subscript"/>
      <sz val="11"/>
      <color theme="3" tint="-0.249977111117893"/>
      <name val="Calibri"/>
      <family val="2"/>
    </font>
    <font>
      <b/>
      <sz val="11"/>
      <color theme="3" tint="-0.249977111117893"/>
      <name val="Calibri"/>
      <family val="2"/>
    </font>
    <font>
      <b/>
      <vertAlign val="subscript"/>
      <sz val="11"/>
      <color theme="3" tint="-0.249977111117893"/>
      <name val="Calibri"/>
      <family val="2"/>
    </font>
    <font>
      <sz val="11"/>
      <color theme="9" tint="-0.24994659260841701"/>
      <name val="Calibri"/>
      <family val="2"/>
      <scheme val="minor"/>
    </font>
    <font>
      <sz val="11"/>
      <color theme="3" tint="-0.24994659260841701"/>
      <name val="Calibri"/>
      <family val="2"/>
      <scheme val="minor"/>
    </font>
    <font>
      <sz val="11"/>
      <color theme="5" tint="-0.24994659260841701"/>
      <name val="Calibri"/>
      <family val="2"/>
      <scheme val="minor"/>
    </font>
    <font>
      <sz val="8"/>
      <color theme="3" tint="-0.24994659260841701"/>
      <name val="Calibri"/>
      <family val="2"/>
      <scheme val="minor"/>
    </font>
    <font>
      <sz val="8"/>
      <color theme="9" tint="-0.24994659260841701"/>
      <name val="Calibri"/>
      <family val="2"/>
      <scheme val="minor"/>
    </font>
    <font>
      <i/>
      <sz val="8"/>
      <color theme="3" tint="-0.249977111117893"/>
      <name val="Calibri"/>
      <family val="2"/>
      <scheme val="minor"/>
    </font>
    <font>
      <i/>
      <vertAlign val="subscript"/>
      <sz val="8"/>
      <color theme="3" tint="-0.249977111117893"/>
      <name val="Calibri"/>
      <family val="2"/>
      <scheme val="minor"/>
    </font>
    <font>
      <vertAlign val="subscript"/>
      <sz val="8"/>
      <color rgb="FFFF0000"/>
      <name val="Calibri"/>
      <family val="2"/>
      <scheme val="minor"/>
    </font>
    <font>
      <i/>
      <sz val="14"/>
      <color theme="3" tint="-0.249977111117893"/>
      <name val="Calibri"/>
      <family val="2"/>
      <scheme val="minor"/>
    </font>
    <font>
      <b/>
      <vertAlign val="superscript"/>
      <sz val="11"/>
      <color theme="3" tint="-0.249977111117893"/>
      <name val="Calibri"/>
      <family val="2"/>
    </font>
    <font>
      <vertAlign val="subscript"/>
      <sz val="8"/>
      <color theme="3" tint="-0.24994659260841701"/>
      <name val="Calibri"/>
      <family val="2"/>
      <scheme val="minor"/>
    </font>
    <font>
      <vertAlign val="superscript"/>
      <sz val="8"/>
      <color theme="3" tint="-0.24994659260841701"/>
      <name val="Calibri"/>
      <family val="2"/>
      <scheme val="minor"/>
    </font>
    <font>
      <sz val="9"/>
      <color indexed="81"/>
      <name val="Calibri"/>
      <family val="2"/>
    </font>
    <font>
      <b/>
      <sz val="11"/>
      <color theme="3" tint="-0.24994659260841701"/>
      <name val="Calibri"/>
      <family val="2"/>
      <scheme val="minor"/>
    </font>
    <font>
      <sz val="11"/>
      <color theme="1"/>
      <name val="Calibri"/>
      <family val="2"/>
      <scheme val="minor"/>
    </font>
    <font>
      <sz val="12"/>
      <color theme="3" tint="-0.249977111117893"/>
      <name val="Calibri"/>
      <family val="2"/>
      <scheme val="minor"/>
    </font>
    <font>
      <vertAlign val="subscript"/>
      <sz val="12"/>
      <color theme="3" tint="-0.249977111117893"/>
      <name val="Calibri"/>
      <family val="2"/>
      <scheme val="minor"/>
    </font>
    <font>
      <b/>
      <sz val="14"/>
      <color theme="1"/>
      <name val="Calibri"/>
      <family val="2"/>
      <scheme val="minor"/>
    </font>
    <font>
      <b/>
      <sz val="11"/>
      <name val="Calibri"/>
      <family val="2"/>
    </font>
    <font>
      <sz val="11"/>
      <name val="Calibri"/>
      <family val="2"/>
    </font>
    <font>
      <b/>
      <i/>
      <sz val="11"/>
      <color theme="1"/>
      <name val="Calibri"/>
      <family val="2"/>
    </font>
    <font>
      <b/>
      <sz val="11"/>
      <color theme="1"/>
      <name val="Calibri"/>
      <family val="2"/>
    </font>
    <font>
      <sz val="11"/>
      <color rgb="FF0070C0"/>
      <name val="Calibri"/>
      <family val="2"/>
    </font>
    <font>
      <sz val="8"/>
      <name val="Calibri"/>
      <family val="2"/>
      <scheme val="minor"/>
    </font>
    <font>
      <b/>
      <u/>
      <sz val="14"/>
      <color theme="1"/>
      <name val="Arial"/>
      <family val="2"/>
    </font>
    <font>
      <b/>
      <i/>
      <u/>
      <sz val="10"/>
      <name val="Arial"/>
      <family val="2"/>
    </font>
    <font>
      <b/>
      <i/>
      <sz val="11"/>
      <color theme="1"/>
      <name val="Calibri"/>
      <family val="2"/>
      <scheme val="minor"/>
    </font>
    <font>
      <b/>
      <sz val="10"/>
      <color rgb="FF0070C0"/>
      <name val="Calibri"/>
      <family val="2"/>
      <scheme val="minor"/>
    </font>
    <font>
      <sz val="11"/>
      <name val="Calibri"/>
      <family val="2"/>
      <scheme val="minor"/>
    </font>
    <font>
      <b/>
      <i/>
      <u/>
      <sz val="10"/>
      <name val="Calibri"/>
      <family val="2"/>
      <scheme val="minor"/>
    </font>
    <font>
      <b/>
      <u/>
      <sz val="18"/>
      <color theme="1"/>
      <name val="Calibri"/>
      <family val="2"/>
      <scheme val="minor"/>
    </font>
    <font>
      <b/>
      <i/>
      <sz val="11"/>
      <color theme="3" tint="-0.249977111117893"/>
      <name val="Calibri"/>
      <family val="2"/>
      <scheme val="minor"/>
    </font>
    <font>
      <b/>
      <i/>
      <sz val="12"/>
      <color theme="3" tint="-0.249977111117893"/>
      <name val="Calibri"/>
      <family val="2"/>
      <scheme val="minor"/>
    </font>
    <font>
      <sz val="12"/>
      <color rgb="FFFF0000"/>
      <name val="Calibri"/>
      <family val="2"/>
      <scheme val="minor"/>
    </font>
    <font>
      <vertAlign val="subscript"/>
      <sz val="12"/>
      <color rgb="FFFF0000"/>
      <name val="Calibri"/>
      <family val="2"/>
      <scheme val="minor"/>
    </font>
    <font>
      <sz val="12"/>
      <color rgb="FFFF0000"/>
      <name val="Calibri"/>
      <family val="2"/>
    </font>
    <font>
      <vertAlign val="subscript"/>
      <sz val="12"/>
      <color rgb="FFFF0000"/>
      <name val="Calibri"/>
      <family val="2"/>
    </font>
    <font>
      <b/>
      <sz val="12"/>
      <color theme="1"/>
      <name val="Calibri"/>
      <family val="2"/>
      <scheme val="minor"/>
    </font>
    <font>
      <sz val="18"/>
      <color theme="1"/>
      <name val="Calibri"/>
      <family val="2"/>
      <scheme val="minor"/>
    </font>
    <font>
      <b/>
      <sz val="20"/>
      <color theme="1"/>
      <name val="Calibri"/>
      <family val="2"/>
      <scheme val="minor"/>
    </font>
    <font>
      <sz val="11"/>
      <color theme="9" tint="-0.249977111117893"/>
      <name val="Calibri"/>
      <family val="2"/>
      <scheme val="minor"/>
    </font>
  </fonts>
  <fills count="17">
    <fill>
      <patternFill patternType="none"/>
    </fill>
    <fill>
      <patternFill patternType="gray125"/>
    </fill>
    <fill>
      <patternFill patternType="solid">
        <fgColor rgb="FF92D050"/>
        <bgColor indexed="64"/>
      </patternFill>
    </fill>
    <fill>
      <patternFill patternType="solid">
        <fgColor rgb="FFF2D70E"/>
        <bgColor indexed="64"/>
      </patternFill>
    </fill>
    <fill>
      <patternFill patternType="solid">
        <fgColor theme="0" tint="-0.14999847407452621"/>
        <bgColor indexed="64"/>
      </patternFill>
    </fill>
    <fill>
      <patternFill patternType="solid">
        <fgColor rgb="FFFF6600"/>
        <bgColor indexed="64"/>
      </patternFill>
    </fill>
    <fill>
      <patternFill patternType="solid">
        <fgColor theme="9" tint="0.39997558519241921"/>
        <bgColor indexed="64"/>
      </patternFill>
    </fill>
    <fill>
      <patternFill patternType="solid">
        <fgColor rgb="FFFFFF00"/>
        <bgColor indexed="64"/>
      </patternFill>
    </fill>
    <fill>
      <patternFill patternType="solid">
        <fgColor rgb="FF00B0F0"/>
        <bgColor indexed="64"/>
      </patternFill>
    </fill>
    <fill>
      <patternFill patternType="solid">
        <fgColor theme="0"/>
        <bgColor indexed="64"/>
      </patternFill>
    </fill>
    <fill>
      <patternFill patternType="solid">
        <fgColor theme="6" tint="0.59996337778862885"/>
        <bgColor indexed="64"/>
      </patternFill>
    </fill>
    <fill>
      <patternFill patternType="solid">
        <fgColor theme="9" tint="0.59996337778862885"/>
        <bgColor indexed="64"/>
      </patternFill>
    </fill>
    <fill>
      <patternFill patternType="solid">
        <fgColor theme="5" tint="0.59996337778862885"/>
        <bgColor indexed="64"/>
      </patternFill>
    </fill>
    <fill>
      <patternFill patternType="solid">
        <fgColor theme="3" tint="0.59996337778862885"/>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tint="0.79998168889431442"/>
        <bgColor indexed="64"/>
      </patternFill>
    </fill>
  </fills>
  <borders count="16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double">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theme="3" tint="-0.249977111117893"/>
      </top>
      <bottom style="medium">
        <color theme="3" tint="-0.249977111117893"/>
      </bottom>
      <diagonal/>
    </border>
    <border>
      <left style="medium">
        <color theme="3" tint="-0.249977111117893"/>
      </left>
      <right/>
      <top style="medium">
        <color theme="3" tint="-0.249977111117893"/>
      </top>
      <bottom/>
      <diagonal/>
    </border>
    <border>
      <left/>
      <right/>
      <top style="medium">
        <color theme="3" tint="-0.249977111117893"/>
      </top>
      <bottom/>
      <diagonal/>
    </border>
    <border>
      <left/>
      <right style="medium">
        <color theme="3" tint="-0.249977111117893"/>
      </right>
      <top style="medium">
        <color theme="3" tint="-0.249977111117893"/>
      </top>
      <bottom/>
      <diagonal/>
    </border>
    <border>
      <left/>
      <right/>
      <top/>
      <bottom style="medium">
        <color theme="3" tint="-0.249977111117893"/>
      </bottom>
      <diagonal/>
    </border>
    <border>
      <left style="thin">
        <color theme="3" tint="-0.249977111117893"/>
      </left>
      <right style="thin">
        <color theme="3" tint="-0.249977111117893"/>
      </right>
      <top style="thin">
        <color theme="3" tint="-0.249977111117893"/>
      </top>
      <bottom style="thin">
        <color theme="3" tint="-0.249977111117893"/>
      </bottom>
      <diagonal/>
    </border>
    <border>
      <left style="thin">
        <color theme="3" tint="-0.249977111117893"/>
      </left>
      <right style="thin">
        <color theme="3" tint="-0.249977111117893"/>
      </right>
      <top style="medium">
        <color theme="3" tint="-0.249977111117893"/>
      </top>
      <bottom style="thin">
        <color theme="3" tint="-0.249977111117893"/>
      </bottom>
      <diagonal/>
    </border>
    <border>
      <left style="medium">
        <color theme="3" tint="-0.249977111117893"/>
      </left>
      <right style="thin">
        <color theme="3" tint="-0.249977111117893"/>
      </right>
      <top style="thin">
        <color theme="3" tint="-0.249977111117893"/>
      </top>
      <bottom style="thin">
        <color theme="3" tint="-0.249977111117893"/>
      </bottom>
      <diagonal/>
    </border>
    <border>
      <left style="thin">
        <color theme="3" tint="-0.249977111117893"/>
      </left>
      <right style="medium">
        <color theme="3" tint="-0.249977111117893"/>
      </right>
      <top style="thin">
        <color theme="3" tint="-0.249977111117893"/>
      </top>
      <bottom style="thin">
        <color theme="3" tint="-0.249977111117893"/>
      </bottom>
      <diagonal/>
    </border>
    <border>
      <left style="medium">
        <color theme="3" tint="-0.249977111117893"/>
      </left>
      <right style="thin">
        <color theme="3" tint="-0.249977111117893"/>
      </right>
      <top style="thin">
        <color theme="3" tint="-0.249977111117893"/>
      </top>
      <bottom style="medium">
        <color theme="3" tint="-0.249977111117893"/>
      </bottom>
      <diagonal/>
    </border>
    <border>
      <left style="thin">
        <color theme="3" tint="-0.249977111117893"/>
      </left>
      <right style="thin">
        <color theme="3" tint="-0.249977111117893"/>
      </right>
      <top style="thin">
        <color theme="3" tint="-0.249977111117893"/>
      </top>
      <bottom style="medium">
        <color theme="3" tint="-0.249977111117893"/>
      </bottom>
      <diagonal/>
    </border>
    <border>
      <left style="thin">
        <color theme="3" tint="-0.249977111117893"/>
      </left>
      <right style="medium">
        <color theme="3" tint="-0.249977111117893"/>
      </right>
      <top style="thin">
        <color theme="3" tint="-0.249977111117893"/>
      </top>
      <bottom style="medium">
        <color theme="3" tint="-0.249977111117893"/>
      </bottom>
      <diagonal/>
    </border>
    <border>
      <left style="medium">
        <color theme="3" tint="-0.249977111117893"/>
      </left>
      <right style="thin">
        <color theme="3" tint="-0.249977111117893"/>
      </right>
      <top/>
      <bottom style="thin">
        <color theme="3" tint="-0.249977111117893"/>
      </bottom>
      <diagonal/>
    </border>
    <border>
      <left style="thin">
        <color theme="3" tint="-0.249977111117893"/>
      </left>
      <right style="thin">
        <color theme="3" tint="-0.249977111117893"/>
      </right>
      <top/>
      <bottom style="thin">
        <color theme="3" tint="-0.249977111117893"/>
      </bottom>
      <diagonal/>
    </border>
    <border>
      <left style="thin">
        <color theme="3" tint="-0.249977111117893"/>
      </left>
      <right style="medium">
        <color theme="3" tint="-0.249977111117893"/>
      </right>
      <top/>
      <bottom style="thin">
        <color theme="3" tint="-0.249977111117893"/>
      </bottom>
      <diagonal/>
    </border>
    <border>
      <left/>
      <right style="thin">
        <color theme="3" tint="-0.249977111117893"/>
      </right>
      <top style="thin">
        <color theme="3" tint="-0.249977111117893"/>
      </top>
      <bottom style="medium">
        <color theme="3" tint="-0.249977111117893"/>
      </bottom>
      <diagonal/>
    </border>
    <border>
      <left/>
      <right/>
      <top style="medium">
        <color theme="3" tint="-0.249977111117893"/>
      </top>
      <bottom style="thin">
        <color theme="3" tint="-0.249977111117893"/>
      </bottom>
      <diagonal/>
    </border>
    <border>
      <left style="thin">
        <color theme="3" tint="-0.249977111117893"/>
      </left>
      <right style="thin">
        <color theme="3" tint="-0.249977111117893"/>
      </right>
      <top style="thin">
        <color theme="3" tint="-0.249977111117893"/>
      </top>
      <bottom/>
      <diagonal/>
    </border>
    <border>
      <left/>
      <right/>
      <top style="thin">
        <color theme="3" tint="-0.249977111117893"/>
      </top>
      <bottom style="medium">
        <color theme="3" tint="-0.249977111117893"/>
      </bottom>
      <diagonal/>
    </border>
    <border>
      <left/>
      <right/>
      <top style="thin">
        <color theme="3" tint="-0.249977111117893"/>
      </top>
      <bottom style="thin">
        <color theme="3" tint="-0.249977111117893"/>
      </bottom>
      <diagonal/>
    </border>
    <border>
      <left style="thin">
        <color theme="3" tint="-0.249977111117893"/>
      </left>
      <right/>
      <top style="medium">
        <color theme="3" tint="-0.249977111117893"/>
      </top>
      <bottom style="thin">
        <color theme="3" tint="-0.249977111117893"/>
      </bottom>
      <diagonal/>
    </border>
    <border>
      <left style="medium">
        <color theme="3" tint="-0.249977111117893"/>
      </left>
      <right/>
      <top style="thin">
        <color indexed="64"/>
      </top>
      <bottom style="thin">
        <color indexed="64"/>
      </bottom>
      <diagonal/>
    </border>
    <border>
      <left style="thin">
        <color theme="3" tint="-0.249977111117893"/>
      </left>
      <right/>
      <top/>
      <bottom/>
      <diagonal/>
    </border>
    <border>
      <left style="medium">
        <color theme="3" tint="-0.249977111117893"/>
      </left>
      <right/>
      <top/>
      <bottom/>
      <diagonal/>
    </border>
    <border>
      <left/>
      <right style="medium">
        <color indexed="64"/>
      </right>
      <top style="medium">
        <color theme="3" tint="-0.249977111117893"/>
      </top>
      <bottom/>
      <diagonal/>
    </border>
    <border>
      <left/>
      <right style="thin">
        <color indexed="64"/>
      </right>
      <top style="medium">
        <color theme="3" tint="-0.249977111117893"/>
      </top>
      <bottom style="medium">
        <color indexed="64"/>
      </bottom>
      <diagonal/>
    </border>
    <border>
      <left style="thin">
        <color indexed="64"/>
      </left>
      <right style="thin">
        <color indexed="64"/>
      </right>
      <top style="medium">
        <color theme="3" tint="-0.249977111117893"/>
      </top>
      <bottom style="medium">
        <color indexed="64"/>
      </bottom>
      <diagonal/>
    </border>
    <border>
      <left style="thin">
        <color indexed="64"/>
      </left>
      <right style="medium">
        <color indexed="64"/>
      </right>
      <top style="medium">
        <color theme="3" tint="-0.249977111117893"/>
      </top>
      <bottom style="medium">
        <color indexed="64"/>
      </bottom>
      <diagonal/>
    </border>
    <border>
      <left style="medium">
        <color theme="3" tint="-0.249977111117893"/>
      </left>
      <right/>
      <top/>
      <bottom style="medium">
        <color indexed="64"/>
      </bottom>
      <diagonal/>
    </border>
    <border>
      <left/>
      <right style="medium">
        <color theme="3" tint="-0.249977111117893"/>
      </right>
      <top/>
      <bottom/>
      <diagonal/>
    </border>
    <border>
      <left style="medium">
        <color theme="3" tint="-0.249977111117893"/>
      </left>
      <right style="thin">
        <color indexed="64"/>
      </right>
      <top style="thin">
        <color indexed="64"/>
      </top>
      <bottom style="thin">
        <color indexed="64"/>
      </bottom>
      <diagonal/>
    </border>
    <border>
      <left style="medium">
        <color theme="3" tint="-0.249977111117893"/>
      </left>
      <right style="thin">
        <color indexed="64"/>
      </right>
      <top style="medium">
        <color indexed="64"/>
      </top>
      <bottom style="medium">
        <color indexed="64"/>
      </bottom>
      <diagonal/>
    </border>
    <border>
      <left style="thin">
        <color indexed="64"/>
      </left>
      <right style="medium">
        <color theme="3" tint="-0.249977111117893"/>
      </right>
      <top style="thin">
        <color indexed="64"/>
      </top>
      <bottom style="thin">
        <color indexed="64"/>
      </bottom>
      <diagonal/>
    </border>
    <border>
      <left style="medium">
        <color theme="3" tint="-0.249977111117893"/>
      </left>
      <right style="thin">
        <color indexed="64"/>
      </right>
      <top style="thin">
        <color indexed="64"/>
      </top>
      <bottom/>
      <diagonal/>
    </border>
    <border>
      <left/>
      <right style="medium">
        <color theme="3" tint="-0.249977111117893"/>
      </right>
      <top style="thin">
        <color indexed="64"/>
      </top>
      <bottom style="thin">
        <color indexed="64"/>
      </bottom>
      <diagonal/>
    </border>
    <border>
      <left style="medium">
        <color theme="3" tint="-0.249977111117893"/>
      </left>
      <right style="thin">
        <color indexed="64"/>
      </right>
      <top/>
      <bottom style="thin">
        <color indexed="64"/>
      </bottom>
      <diagonal/>
    </border>
    <border>
      <left/>
      <right style="medium">
        <color theme="3" tint="-0.249977111117893"/>
      </right>
      <top/>
      <bottom style="medium">
        <color theme="3" tint="-0.249977111117893"/>
      </bottom>
      <diagonal/>
    </border>
    <border>
      <left style="medium">
        <color theme="3" tint="-0.249977111117893"/>
      </left>
      <right style="thin">
        <color indexed="64"/>
      </right>
      <top style="medium">
        <color indexed="64"/>
      </top>
      <bottom style="medium">
        <color theme="3" tint="-0.249977111117893"/>
      </bottom>
      <diagonal/>
    </border>
    <border>
      <left style="thin">
        <color indexed="64"/>
      </left>
      <right style="thin">
        <color indexed="64"/>
      </right>
      <top style="medium">
        <color indexed="64"/>
      </top>
      <bottom style="medium">
        <color theme="3" tint="-0.249977111117893"/>
      </bottom>
      <diagonal/>
    </border>
    <border>
      <left style="thin">
        <color indexed="64"/>
      </left>
      <right style="medium">
        <color indexed="64"/>
      </right>
      <top style="medium">
        <color indexed="64"/>
      </top>
      <bottom style="medium">
        <color theme="3" tint="-0.249977111117893"/>
      </bottom>
      <diagonal/>
    </border>
    <border>
      <left/>
      <right style="thin">
        <color indexed="64"/>
      </right>
      <top style="thin">
        <color indexed="64"/>
      </top>
      <bottom style="medium">
        <color theme="3" tint="-0.249977111117893"/>
      </bottom>
      <diagonal/>
    </border>
    <border>
      <left/>
      <right/>
      <top style="thin">
        <color theme="3" tint="-0.249977111117893"/>
      </top>
      <bottom/>
      <diagonal/>
    </border>
    <border>
      <left/>
      <right/>
      <top/>
      <bottom style="thin">
        <color theme="3" tint="-0.249977111117893"/>
      </bottom>
      <diagonal/>
    </border>
    <border>
      <left/>
      <right style="thin">
        <color theme="3" tint="-0.249977111117893"/>
      </right>
      <top style="thin">
        <color theme="3" tint="-0.249977111117893"/>
      </top>
      <bottom/>
      <diagonal/>
    </border>
    <border>
      <left/>
      <right style="thin">
        <color theme="3" tint="-0.249977111117893"/>
      </right>
      <top/>
      <bottom/>
      <diagonal/>
    </border>
    <border>
      <left/>
      <right style="thin">
        <color theme="3" tint="-0.249977111117893"/>
      </right>
      <top/>
      <bottom style="thin">
        <color theme="3" tint="-0.249977111117893"/>
      </bottom>
      <diagonal/>
    </border>
    <border>
      <left style="thin">
        <color theme="3" tint="-0.249977111117893"/>
      </left>
      <right/>
      <top/>
      <bottom style="thin">
        <color theme="3" tint="-0.249977111117893"/>
      </bottom>
      <diagonal/>
    </border>
    <border>
      <left style="thin">
        <color indexed="64"/>
      </left>
      <right style="thin">
        <color indexed="64"/>
      </right>
      <top style="medium">
        <color theme="3" tint="-0.249977111117893"/>
      </top>
      <bottom style="thin">
        <color indexed="64"/>
      </bottom>
      <diagonal/>
    </border>
    <border>
      <left style="medium">
        <color indexed="64"/>
      </left>
      <right style="thin">
        <color indexed="64"/>
      </right>
      <top/>
      <bottom style="thin">
        <color indexed="64"/>
      </bottom>
      <diagonal/>
    </border>
    <border>
      <left style="thin">
        <color theme="3" tint="-0.249977111117893"/>
      </left>
      <right/>
      <top style="thin">
        <color theme="3" tint="-0.249977111117893"/>
      </top>
      <bottom style="thin">
        <color theme="3" tint="-0.249977111117893"/>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thin">
        <color theme="3" tint="-0.249977111117893"/>
      </left>
      <right/>
      <top style="thin">
        <color theme="3" tint="-0.249977111117893"/>
      </top>
      <bottom style="thin">
        <color indexed="64"/>
      </bottom>
      <diagonal/>
    </border>
    <border>
      <left/>
      <right/>
      <top style="thin">
        <color theme="3" tint="-0.249977111117893"/>
      </top>
      <bottom style="thin">
        <color indexed="64"/>
      </bottom>
      <diagonal/>
    </border>
    <border>
      <left style="medium">
        <color indexed="64"/>
      </left>
      <right/>
      <top style="medium">
        <color indexed="64"/>
      </top>
      <bottom style="medium">
        <color theme="3" tint="-0.249977111117893"/>
      </bottom>
      <diagonal/>
    </border>
    <border>
      <left/>
      <right/>
      <top style="medium">
        <color indexed="64"/>
      </top>
      <bottom style="medium">
        <color theme="3" tint="-0.249977111117893"/>
      </bottom>
      <diagonal/>
    </border>
    <border>
      <left/>
      <right style="medium">
        <color indexed="64"/>
      </right>
      <top style="medium">
        <color indexed="64"/>
      </top>
      <bottom style="medium">
        <color theme="3" tint="-0.249977111117893"/>
      </bottom>
      <diagonal/>
    </border>
    <border>
      <left style="medium">
        <color indexed="64"/>
      </left>
      <right style="thin">
        <color theme="3" tint="-0.249977111117893"/>
      </right>
      <top style="medium">
        <color theme="3" tint="-0.249977111117893"/>
      </top>
      <bottom style="thin">
        <color theme="3" tint="-0.249977111117893"/>
      </bottom>
      <diagonal/>
    </border>
    <border>
      <left/>
      <right style="medium">
        <color indexed="64"/>
      </right>
      <top style="medium">
        <color theme="3" tint="-0.249977111117893"/>
      </top>
      <bottom style="thin">
        <color theme="3" tint="-0.249977111117893"/>
      </bottom>
      <diagonal/>
    </border>
    <border>
      <left style="medium">
        <color indexed="64"/>
      </left>
      <right style="thin">
        <color theme="3" tint="-0.249977111117893"/>
      </right>
      <top style="thin">
        <color theme="3" tint="-0.249977111117893"/>
      </top>
      <bottom style="thin">
        <color theme="3" tint="-0.249977111117893"/>
      </bottom>
      <diagonal/>
    </border>
    <border>
      <left/>
      <right style="medium">
        <color indexed="64"/>
      </right>
      <top style="thin">
        <color theme="3" tint="-0.249977111117893"/>
      </top>
      <bottom style="thin">
        <color theme="3" tint="-0.249977111117893"/>
      </bottom>
      <diagonal/>
    </border>
    <border>
      <left style="medium">
        <color indexed="64"/>
      </left>
      <right style="thin">
        <color theme="3" tint="-0.249977111117893"/>
      </right>
      <top style="thin">
        <color theme="3" tint="-0.249977111117893"/>
      </top>
      <bottom/>
      <diagonal/>
    </border>
    <border>
      <left/>
      <right style="medium">
        <color indexed="64"/>
      </right>
      <top style="thin">
        <color theme="3" tint="-0.249977111117893"/>
      </top>
      <bottom style="thin">
        <color indexed="64"/>
      </bottom>
      <diagonal/>
    </border>
    <border>
      <left style="medium">
        <color indexed="64"/>
      </left>
      <right style="thin">
        <color theme="3" tint="-0.249977111117893"/>
      </right>
      <top style="thin">
        <color indexed="64"/>
      </top>
      <bottom style="medium">
        <color indexed="64"/>
      </bottom>
      <diagonal/>
    </border>
    <border>
      <left style="thin">
        <color theme="3" tint="-0.249977111117893"/>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3" tint="-0.249977111117893"/>
      </left>
      <right style="thin">
        <color theme="3" tint="-0.249977111117893"/>
      </right>
      <top style="thin">
        <color theme="3" tint="-0.249977111117893"/>
      </top>
      <bottom style="medium">
        <color indexed="64"/>
      </bottom>
      <diagonal/>
    </border>
    <border>
      <left style="thin">
        <color theme="3" tint="-0.249977111117893"/>
      </left>
      <right/>
      <top style="thin">
        <color theme="3" tint="-0.249977111117893"/>
      </top>
      <bottom style="medium">
        <color indexed="64"/>
      </bottom>
      <diagonal/>
    </border>
    <border>
      <left/>
      <right/>
      <top style="thin">
        <color theme="3" tint="-0.249977111117893"/>
      </top>
      <bottom style="medium">
        <color indexed="64"/>
      </bottom>
      <diagonal/>
    </border>
    <border>
      <left style="medium">
        <color theme="3" tint="-0.249977111117893"/>
      </left>
      <right/>
      <top/>
      <bottom style="medium">
        <color theme="3" tint="-0.249977111117893"/>
      </bottom>
      <diagonal/>
    </border>
    <border>
      <left style="medium">
        <color indexed="64"/>
      </left>
      <right/>
      <top style="thin">
        <color theme="3" tint="-0.249977111117893"/>
      </top>
      <bottom/>
      <diagonal/>
    </border>
    <border>
      <left style="medium">
        <color indexed="64"/>
      </left>
      <right/>
      <top/>
      <bottom style="thin">
        <color theme="3" tint="-0.249977111117893"/>
      </bottom>
      <diagonal/>
    </border>
    <border>
      <left style="medium">
        <color indexed="64"/>
      </left>
      <right/>
      <top style="medium">
        <color indexed="64"/>
      </top>
      <bottom style="thin">
        <color theme="3" tint="-0.249977111117893"/>
      </bottom>
      <diagonal/>
    </border>
    <border>
      <left/>
      <right/>
      <top style="medium">
        <color indexed="64"/>
      </top>
      <bottom style="thin">
        <color theme="3" tint="-0.249977111117893"/>
      </bottom>
      <diagonal/>
    </border>
    <border>
      <left/>
      <right style="medium">
        <color indexed="64"/>
      </right>
      <top style="medium">
        <color indexed="64"/>
      </top>
      <bottom style="thin">
        <color theme="3" tint="-0.249977111117893"/>
      </bottom>
      <diagonal/>
    </border>
    <border>
      <left style="thin">
        <color theme="3" tint="-0.249977111117893"/>
      </left>
      <right style="medium">
        <color indexed="64"/>
      </right>
      <top style="thin">
        <color theme="3" tint="-0.249977111117893"/>
      </top>
      <bottom style="thin">
        <color theme="3" tint="-0.249977111117893"/>
      </bottom>
      <diagonal/>
    </border>
    <border>
      <left style="medium">
        <color indexed="64"/>
      </left>
      <right style="thin">
        <color theme="3" tint="-0.249977111117893"/>
      </right>
      <top style="thin">
        <color theme="3" tint="-0.249977111117893"/>
      </top>
      <bottom style="medium">
        <color indexed="64"/>
      </bottom>
      <diagonal/>
    </border>
    <border>
      <left style="thin">
        <color theme="3" tint="-0.249977111117893"/>
      </left>
      <right style="medium">
        <color indexed="64"/>
      </right>
      <top style="thin">
        <color theme="3" tint="-0.249977111117893"/>
      </top>
      <bottom style="medium">
        <color indexed="64"/>
      </bottom>
      <diagonal/>
    </border>
    <border>
      <left style="medium">
        <color indexed="64"/>
      </left>
      <right style="thin">
        <color theme="3" tint="-0.249977111117893"/>
      </right>
      <top style="medium">
        <color indexed="64"/>
      </top>
      <bottom style="medium">
        <color theme="3" tint="-0.249977111117893"/>
      </bottom>
      <diagonal/>
    </border>
    <border>
      <left style="thin">
        <color theme="3" tint="-0.249977111117893"/>
      </left>
      <right style="thin">
        <color theme="3" tint="-0.249977111117893"/>
      </right>
      <top style="medium">
        <color indexed="64"/>
      </top>
      <bottom style="medium">
        <color theme="3" tint="-0.249977111117893"/>
      </bottom>
      <diagonal/>
    </border>
    <border>
      <left style="thin">
        <color theme="3" tint="-0.249977111117893"/>
      </left>
      <right style="medium">
        <color indexed="64"/>
      </right>
      <top style="medium">
        <color indexed="64"/>
      </top>
      <bottom style="medium">
        <color theme="3" tint="-0.249977111117893"/>
      </bottom>
      <diagonal/>
    </border>
    <border>
      <left style="medium">
        <color indexed="64"/>
      </left>
      <right style="thin">
        <color theme="3" tint="-0.249977111117893"/>
      </right>
      <top/>
      <bottom style="thin">
        <color theme="3" tint="-0.249977111117893"/>
      </bottom>
      <diagonal/>
    </border>
    <border>
      <left style="thin">
        <color theme="3" tint="-0.249977111117893"/>
      </left>
      <right style="medium">
        <color indexed="64"/>
      </right>
      <top/>
      <bottom style="thin">
        <color theme="3" tint="-0.249977111117893"/>
      </bottom>
      <diagonal/>
    </border>
    <border>
      <left style="medium">
        <color indexed="64"/>
      </left>
      <right style="thin">
        <color theme="3" tint="-0.249977111117893"/>
      </right>
      <top style="medium">
        <color indexed="64"/>
      </top>
      <bottom style="thin">
        <color theme="3" tint="-0.249977111117893"/>
      </bottom>
      <diagonal/>
    </border>
    <border>
      <left style="thin">
        <color theme="3" tint="-0.249977111117893"/>
      </left>
      <right style="thin">
        <color theme="3" tint="-0.249977111117893"/>
      </right>
      <top style="medium">
        <color indexed="64"/>
      </top>
      <bottom style="thin">
        <color theme="3" tint="-0.249977111117893"/>
      </bottom>
      <diagonal/>
    </border>
    <border>
      <left style="thin">
        <color theme="3" tint="-0.249977111117893"/>
      </left>
      <right style="medium">
        <color indexed="64"/>
      </right>
      <top style="medium">
        <color indexed="64"/>
      </top>
      <bottom style="thin">
        <color theme="3" tint="-0.249977111117893"/>
      </bottom>
      <diagonal/>
    </border>
    <border>
      <left style="medium">
        <color indexed="64"/>
      </left>
      <right style="thin">
        <color theme="3" tint="-0.249977111117893"/>
      </right>
      <top style="thin">
        <color theme="3" tint="-0.249977111117893"/>
      </top>
      <bottom style="medium">
        <color theme="3" tint="-0.249977111117893"/>
      </bottom>
      <diagonal/>
    </border>
    <border>
      <left style="thin">
        <color theme="3" tint="-0.249977111117893"/>
      </left>
      <right style="medium">
        <color indexed="64"/>
      </right>
      <top style="thin">
        <color theme="3" tint="-0.249977111117893"/>
      </top>
      <bottom style="medium">
        <color theme="3" tint="-0.249977111117893"/>
      </bottom>
      <diagonal/>
    </border>
    <border>
      <left style="thin">
        <color theme="3" tint="-0.249977111117893"/>
      </left>
      <right style="medium">
        <color indexed="64"/>
      </right>
      <top style="medium">
        <color theme="3" tint="-0.249977111117893"/>
      </top>
      <bottom style="thin">
        <color theme="3" tint="-0.249977111117893"/>
      </bottom>
      <diagonal/>
    </border>
    <border>
      <left style="thin">
        <color theme="3" tint="-0.249977111117893"/>
      </left>
      <right style="medium">
        <color indexed="64"/>
      </right>
      <top style="thin">
        <color theme="3" tint="-0.249977111117893"/>
      </top>
      <bottom/>
      <diagonal/>
    </border>
    <border>
      <left style="medium">
        <color indexed="64"/>
      </left>
      <right/>
      <top style="medium">
        <color theme="3" tint="-0.249977111117893"/>
      </top>
      <bottom style="thin">
        <color theme="3" tint="-0.249977111117893"/>
      </bottom>
      <diagonal/>
    </border>
    <border>
      <left style="medium">
        <color indexed="64"/>
      </left>
      <right/>
      <top style="thin">
        <color theme="3" tint="-0.249977111117893"/>
      </top>
      <bottom style="thin">
        <color theme="3" tint="-0.249977111117893"/>
      </bottom>
      <diagonal/>
    </border>
    <border>
      <left style="medium">
        <color indexed="64"/>
      </left>
      <right/>
      <top style="thin">
        <color theme="3" tint="-0.249977111117893"/>
      </top>
      <bottom style="medium">
        <color indexed="64"/>
      </bottom>
      <diagonal/>
    </border>
    <border>
      <left/>
      <right style="medium">
        <color indexed="64"/>
      </right>
      <top/>
      <bottom style="thin">
        <color theme="3" tint="-0.249977111117893"/>
      </bottom>
      <diagonal/>
    </border>
    <border>
      <left style="medium">
        <color indexed="64"/>
      </left>
      <right style="thin">
        <color theme="3" tint="-0.249977111117893"/>
      </right>
      <top style="thin">
        <color theme="3" tint="-0.249977111117893"/>
      </top>
      <bottom style="thin">
        <color indexed="64"/>
      </bottom>
      <diagonal/>
    </border>
    <border>
      <left style="thin">
        <color theme="3" tint="-0.249977111117893"/>
      </left>
      <right style="thin">
        <color theme="3" tint="-0.249977111117893"/>
      </right>
      <top style="thin">
        <color theme="3" tint="-0.249977111117893"/>
      </top>
      <bottom style="thin">
        <color indexed="64"/>
      </bottom>
      <diagonal/>
    </border>
    <border>
      <left style="thin">
        <color theme="3" tint="-0.249977111117893"/>
      </left>
      <right style="medium">
        <color indexed="64"/>
      </right>
      <top style="thin">
        <color theme="3" tint="-0.249977111117893"/>
      </top>
      <bottom style="thin">
        <color indexed="64"/>
      </bottom>
      <diagonal/>
    </border>
    <border>
      <left style="medium">
        <color indexed="64"/>
      </left>
      <right style="medium">
        <color theme="3" tint="-0.249977111117893"/>
      </right>
      <top style="medium">
        <color theme="3" tint="-0.249977111117893"/>
      </top>
      <bottom style="thin">
        <color theme="3" tint="-0.249977111117893"/>
      </bottom>
      <diagonal/>
    </border>
    <border>
      <left style="medium">
        <color indexed="64"/>
      </left>
      <right style="medium">
        <color theme="3" tint="-0.249977111117893"/>
      </right>
      <top style="thin">
        <color theme="3" tint="-0.249977111117893"/>
      </top>
      <bottom style="thin">
        <color theme="3" tint="-0.249977111117893"/>
      </bottom>
      <diagonal/>
    </border>
    <border>
      <left style="medium">
        <color indexed="64"/>
      </left>
      <right style="medium">
        <color theme="3" tint="-0.249977111117893"/>
      </right>
      <top style="thin">
        <color theme="3" tint="-0.249977111117893"/>
      </top>
      <bottom style="medium">
        <color theme="3" tint="-0.249977111117893"/>
      </bottom>
      <diagonal/>
    </border>
    <border>
      <left style="thin">
        <color theme="3" tint="-0.249977111117893"/>
      </left>
      <right style="thin">
        <color theme="3" tint="-0.249977111117893"/>
      </right>
      <top style="medium">
        <color indexed="64"/>
      </top>
      <bottom style="medium">
        <color indexed="64"/>
      </bottom>
      <diagonal/>
    </border>
    <border>
      <left style="thin">
        <color theme="3" tint="-0.249977111117893"/>
      </left>
      <right style="medium">
        <color indexed="64"/>
      </right>
      <top style="medium">
        <color indexed="64"/>
      </top>
      <bottom style="medium">
        <color indexed="64"/>
      </bottom>
      <diagonal/>
    </border>
    <border>
      <left style="thin">
        <color indexed="64"/>
      </left>
      <right style="thin">
        <color theme="3" tint="-0.249977111117893"/>
      </right>
      <top style="medium">
        <color indexed="64"/>
      </top>
      <bottom style="medium">
        <color indexed="64"/>
      </bottom>
      <diagonal/>
    </border>
    <border>
      <left style="medium">
        <color indexed="64"/>
      </left>
      <right/>
      <top style="thin">
        <color theme="3" tint="-0.249977111117893"/>
      </top>
      <bottom style="medium">
        <color theme="3" tint="-0.249977111117893"/>
      </bottom>
      <diagonal/>
    </border>
    <border>
      <left/>
      <right style="medium">
        <color indexed="64"/>
      </right>
      <top style="thin">
        <color theme="3" tint="-0.249977111117893"/>
      </top>
      <bottom style="medium">
        <color indexed="64"/>
      </bottom>
      <diagonal/>
    </border>
    <border>
      <left/>
      <right style="thin">
        <color theme="3" tint="-0.249977111117893"/>
      </right>
      <top style="thin">
        <color theme="3" tint="-0.249977111117893"/>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theme="3" tint="-0.249977111117893"/>
      </top>
      <bottom style="medium">
        <color theme="3" tint="-0.249977111117893"/>
      </bottom>
      <diagonal/>
    </border>
    <border>
      <left/>
      <right style="medium">
        <color indexed="64"/>
      </right>
      <top style="medium">
        <color theme="3" tint="-0.249977111117893"/>
      </top>
      <bottom style="medium">
        <color theme="3" tint="-0.249977111117893"/>
      </bottom>
      <diagonal/>
    </border>
    <border>
      <left style="medium">
        <color indexed="64"/>
      </left>
      <right style="thin">
        <color indexed="64"/>
      </right>
      <top style="medium">
        <color theme="3" tint="-0.249977111117893"/>
      </top>
      <bottom style="thin">
        <color indexed="64"/>
      </bottom>
      <diagonal/>
    </border>
    <border>
      <left style="thin">
        <color indexed="64"/>
      </left>
      <right style="medium">
        <color indexed="64"/>
      </right>
      <top style="medium">
        <color theme="3" tint="-0.249977111117893"/>
      </top>
      <bottom style="thin">
        <color indexed="64"/>
      </bottom>
      <diagonal/>
    </border>
    <border>
      <left style="medium">
        <color indexed="64"/>
      </left>
      <right/>
      <top style="thin">
        <color indexed="64"/>
      </top>
      <bottom style="medium">
        <color indexed="64"/>
      </bottom>
      <diagonal/>
    </border>
    <border>
      <left/>
      <right style="thin">
        <color theme="3" tint="-0.249977111117893"/>
      </right>
      <top style="thin">
        <color theme="3" tint="-0.249977111117893"/>
      </top>
      <bottom style="thin">
        <color theme="3" tint="-0.249977111117893"/>
      </bottom>
      <diagonal/>
    </border>
  </borders>
  <cellStyleXfs count="6">
    <xf numFmtId="0" fontId="0" fillId="0" borderId="0"/>
    <xf numFmtId="0" fontId="47" fillId="10" borderId="0" applyNumberFormat="0" applyBorder="0" applyAlignment="0" applyProtection="0"/>
    <xf numFmtId="0" fontId="46" fillId="11" borderId="0" applyNumberFormat="0" applyBorder="0" applyAlignment="0" applyProtection="0"/>
    <xf numFmtId="0" fontId="47" fillId="13" borderId="0" applyNumberFormat="0" applyBorder="0" applyAlignment="0" applyProtection="0"/>
    <xf numFmtId="0" fontId="48" fillId="12" borderId="32" applyBorder="0">
      <alignment horizontal="center"/>
    </xf>
    <xf numFmtId="43" fontId="60" fillId="0" borderId="0" applyFont="0" applyFill="0" applyBorder="0" applyAlignment="0" applyProtection="0"/>
  </cellStyleXfs>
  <cellXfs count="640">
    <xf numFmtId="0" fontId="0" fillId="0" borderId="0" xfId="0"/>
    <xf numFmtId="0" fontId="0" fillId="0" borderId="0" xfId="0"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vertical="center"/>
    </xf>
    <xf numFmtId="0" fontId="0" fillId="0" borderId="9" xfId="0" applyBorder="1" applyAlignment="1">
      <alignment horizontal="center"/>
    </xf>
    <xf numFmtId="0" fontId="9" fillId="0" borderId="0" xfId="0" applyFont="1" applyAlignment="1">
      <alignment horizontal="center"/>
    </xf>
    <xf numFmtId="0" fontId="0" fillId="0" borderId="8" xfId="0" applyBorder="1" applyAlignment="1">
      <alignment horizontal="center"/>
    </xf>
    <xf numFmtId="0" fontId="6" fillId="0" borderId="8" xfId="0" applyFont="1" applyBorder="1" applyAlignment="1">
      <alignment horizontal="center"/>
    </xf>
    <xf numFmtId="0" fontId="6" fillId="0" borderId="14" xfId="0" applyFont="1" applyBorder="1" applyAlignment="1">
      <alignment horizontal="center"/>
    </xf>
    <xf numFmtId="0" fontId="2" fillId="0" borderId="0" xfId="0" applyFont="1" applyAlignment="1">
      <alignment horizontal="center"/>
    </xf>
    <xf numFmtId="0" fontId="6" fillId="0" borderId="11" xfId="0" applyFont="1" applyBorder="1" applyAlignment="1">
      <alignment horizontal="center"/>
    </xf>
    <xf numFmtId="0" fontId="14" fillId="0" borderId="0" xfId="0" applyFont="1" applyAlignment="1">
      <alignment horizontal="center"/>
    </xf>
    <xf numFmtId="0" fontId="2" fillId="0" borderId="0" xfId="0" applyFont="1" applyAlignment="1">
      <alignment vertical="center"/>
    </xf>
    <xf numFmtId="0" fontId="2" fillId="0" borderId="0" xfId="0" applyFont="1" applyAlignment="1">
      <alignment horizontal="center" vertical="center"/>
    </xf>
    <xf numFmtId="0" fontId="0" fillId="0" borderId="25" xfId="0" applyBorder="1"/>
    <xf numFmtId="0" fontId="1" fillId="0" borderId="4" xfId="0" applyFont="1" applyBorder="1" applyAlignment="1">
      <alignment horizontal="center" vertical="center"/>
    </xf>
    <xf numFmtId="0" fontId="9" fillId="0" borderId="0" xfId="0" applyFont="1" applyAlignment="1">
      <alignment horizontal="left"/>
    </xf>
    <xf numFmtId="0" fontId="1" fillId="2" borderId="7" xfId="0" applyFont="1" applyFill="1" applyBorder="1" applyAlignment="1">
      <alignment horizontal="center" vertical="center"/>
    </xf>
    <xf numFmtId="0" fontId="0" fillId="0" borderId="0" xfId="0" applyAlignment="1">
      <alignment vertical="center"/>
    </xf>
    <xf numFmtId="0" fontId="1" fillId="6" borderId="19" xfId="0" applyFont="1" applyFill="1" applyBorder="1" applyAlignment="1">
      <alignment horizontal="center" vertical="center"/>
    </xf>
    <xf numFmtId="0" fontId="0" fillId="0" borderId="1" xfId="0"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0" fontId="1" fillId="0" borderId="11" xfId="0" applyFont="1" applyBorder="1" applyAlignment="1">
      <alignment horizontal="center" vertical="center"/>
    </xf>
    <xf numFmtId="0" fontId="1" fillId="0" borderId="14" xfId="0" applyFont="1" applyBorder="1" applyAlignment="1">
      <alignment horizontal="center" vertical="center"/>
    </xf>
    <xf numFmtId="0" fontId="1" fillId="0" borderId="8" xfId="0" applyFont="1" applyBorder="1" applyAlignment="1">
      <alignment horizontal="center" vertical="center"/>
    </xf>
    <xf numFmtId="0" fontId="1" fillId="0" borderId="1" xfId="0" applyFont="1"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0" fillId="0" borderId="33" xfId="0" applyBorder="1"/>
    <xf numFmtId="0" fontId="1" fillId="0" borderId="16" xfId="0" applyFont="1" applyBorder="1" applyAlignment="1">
      <alignment horizontal="center"/>
    </xf>
    <xf numFmtId="0" fontId="1" fillId="0" borderId="17" xfId="0" applyFont="1" applyBorder="1" applyAlignment="1">
      <alignment horizontal="center"/>
    </xf>
    <xf numFmtId="0" fontId="2" fillId="0" borderId="0" xfId="0" applyFont="1" applyAlignment="1">
      <alignment horizontal="left"/>
    </xf>
    <xf numFmtId="0" fontId="9" fillId="0" borderId="0" xfId="0" applyFont="1" applyAlignment="1">
      <alignment horizontal="center" wrapText="1"/>
    </xf>
    <xf numFmtId="0" fontId="0" fillId="0" borderId="22" xfId="0" applyBorder="1"/>
    <xf numFmtId="0" fontId="0" fillId="0" borderId="32" xfId="0" applyBorder="1" applyAlignment="1">
      <alignment horizontal="center"/>
    </xf>
    <xf numFmtId="0" fontId="0" fillId="0" borderId="34" xfId="0" applyBorder="1"/>
    <xf numFmtId="0" fontId="0" fillId="0" borderId="26" xfId="0" applyBorder="1"/>
    <xf numFmtId="0" fontId="0" fillId="0" borderId="32" xfId="0" applyBorder="1"/>
    <xf numFmtId="0" fontId="6" fillId="0" borderId="0" xfId="0" applyFont="1"/>
    <xf numFmtId="0" fontId="0" fillId="0" borderId="9" xfId="0" applyBorder="1" applyAlignment="1">
      <alignment horizontal="center" vertical="center"/>
    </xf>
    <xf numFmtId="0" fontId="0" fillId="0" borderId="5" xfId="0" applyBorder="1" applyAlignment="1">
      <alignment horizontal="center"/>
    </xf>
    <xf numFmtId="0" fontId="19" fillId="0" borderId="0" xfId="0" applyFont="1" applyAlignment="1">
      <alignment horizontal="center" vertical="center"/>
    </xf>
    <xf numFmtId="0" fontId="1" fillId="0" borderId="12" xfId="0" applyFont="1" applyBorder="1" applyAlignment="1">
      <alignment horizontal="center" vertical="center"/>
    </xf>
    <xf numFmtId="0" fontId="0" fillId="0" borderId="4" xfId="0" applyBorder="1" applyAlignment="1">
      <alignment horizontal="center" vertical="center"/>
    </xf>
    <xf numFmtId="0" fontId="9" fillId="0" borderId="0" xfId="0" applyFont="1"/>
    <xf numFmtId="0" fontId="0" fillId="0" borderId="11" xfId="0" applyBorder="1" applyAlignment="1">
      <alignment horizontal="center"/>
    </xf>
    <xf numFmtId="0" fontId="0" fillId="0" borderId="23" xfId="0" applyBorder="1"/>
    <xf numFmtId="0" fontId="0" fillId="0" borderId="24" xfId="0" applyBorder="1" applyAlignment="1">
      <alignment horizontal="center"/>
    </xf>
    <xf numFmtId="0" fontId="0" fillId="0" borderId="25" xfId="0" applyBorder="1" applyAlignment="1">
      <alignment horizontal="center"/>
    </xf>
    <xf numFmtId="0" fontId="0" fillId="0" borderId="34" xfId="0" applyBorder="1" applyAlignment="1">
      <alignment horizontal="center"/>
    </xf>
    <xf numFmtId="0" fontId="12" fillId="0" borderId="0" xfId="0" applyFont="1"/>
    <xf numFmtId="0" fontId="9" fillId="0" borderId="1" xfId="0" applyFont="1" applyBorder="1" applyAlignment="1">
      <alignment horizontal="center" vertical="center"/>
    </xf>
    <xf numFmtId="2" fontId="9" fillId="0" borderId="1" xfId="0" applyNumberFormat="1" applyFont="1" applyBorder="1" applyAlignment="1">
      <alignment horizontal="center" vertical="center"/>
    </xf>
    <xf numFmtId="0" fontId="26" fillId="0" borderId="1" xfId="0" applyFont="1" applyBorder="1" applyAlignment="1">
      <alignment horizontal="center"/>
    </xf>
    <xf numFmtId="0" fontId="2" fillId="0" borderId="7" xfId="0" applyFont="1" applyBorder="1" applyAlignment="1">
      <alignment horizontal="center"/>
    </xf>
    <xf numFmtId="0" fontId="0" fillId="0" borderId="5" xfId="0" applyBorder="1"/>
    <xf numFmtId="0" fontId="47" fillId="13" borderId="10" xfId="3" applyBorder="1" applyAlignment="1">
      <alignment horizontal="center" vertical="center"/>
    </xf>
    <xf numFmtId="2" fontId="47" fillId="13" borderId="12" xfId="3" applyNumberFormat="1" applyBorder="1" applyAlignment="1">
      <alignment horizontal="center" vertical="center"/>
    </xf>
    <xf numFmtId="0" fontId="46" fillId="11" borderId="1" xfId="2" applyBorder="1" applyAlignment="1">
      <alignment horizontal="center"/>
    </xf>
    <xf numFmtId="0" fontId="47" fillId="13" borderId="1" xfId="3" applyBorder="1" applyAlignment="1">
      <alignment horizontal="center" vertical="center"/>
    </xf>
    <xf numFmtId="2" fontId="47" fillId="13" borderId="29" xfId="3" applyNumberFormat="1" applyBorder="1" applyAlignment="1">
      <alignment horizontal="center" vertical="center"/>
    </xf>
    <xf numFmtId="2" fontId="47" fillId="13" borderId="10" xfId="3" applyNumberFormat="1" applyBorder="1" applyAlignment="1">
      <alignment horizontal="center" vertical="center"/>
    </xf>
    <xf numFmtId="2" fontId="47" fillId="13" borderId="1" xfId="3" applyNumberFormat="1" applyBorder="1" applyAlignment="1">
      <alignment horizontal="center"/>
    </xf>
    <xf numFmtId="0" fontId="47" fillId="13" borderId="1" xfId="3" applyBorder="1" applyAlignment="1">
      <alignment horizontal="center"/>
    </xf>
    <xf numFmtId="166" fontId="47" fillId="13" borderId="1" xfId="3" applyNumberFormat="1" applyBorder="1" applyAlignment="1">
      <alignment horizontal="center"/>
    </xf>
    <xf numFmtId="2" fontId="47" fillId="13" borderId="1" xfId="3" applyNumberFormat="1" applyBorder="1" applyAlignment="1">
      <alignment horizontal="center" vertical="center"/>
    </xf>
    <xf numFmtId="165" fontId="47" fillId="13" borderId="1" xfId="3" applyNumberFormat="1" applyBorder="1" applyAlignment="1">
      <alignment horizontal="center" vertical="center"/>
    </xf>
    <xf numFmtId="164" fontId="47" fillId="13" borderId="1" xfId="3" applyNumberFormat="1" applyBorder="1" applyAlignment="1">
      <alignment horizontal="center" vertical="center"/>
    </xf>
    <xf numFmtId="2" fontId="47" fillId="13" borderId="3" xfId="3" applyNumberFormat="1" applyBorder="1" applyAlignment="1">
      <alignment horizontal="center" vertical="center"/>
    </xf>
    <xf numFmtId="165" fontId="47" fillId="13" borderId="4" xfId="3" applyNumberFormat="1" applyBorder="1" applyAlignment="1">
      <alignment horizontal="center" vertical="center"/>
    </xf>
    <xf numFmtId="166" fontId="47" fillId="13" borderId="1" xfId="3" applyNumberFormat="1" applyBorder="1" applyAlignment="1">
      <alignment horizontal="center" vertical="center"/>
    </xf>
    <xf numFmtId="2" fontId="47" fillId="13" borderId="36" xfId="3" applyNumberFormat="1" applyBorder="1" applyAlignment="1">
      <alignment horizontal="center" vertical="center"/>
    </xf>
    <xf numFmtId="2" fontId="47" fillId="13" borderId="6" xfId="3" applyNumberFormat="1" applyBorder="1" applyAlignment="1">
      <alignment horizontal="center" vertical="center"/>
    </xf>
    <xf numFmtId="1" fontId="47" fillId="13" borderId="1" xfId="3" applyNumberFormat="1" applyBorder="1" applyAlignment="1">
      <alignment horizontal="center" vertical="center"/>
    </xf>
    <xf numFmtId="2" fontId="47" fillId="13" borderId="9" xfId="3" applyNumberFormat="1" applyBorder="1" applyAlignment="1">
      <alignment horizontal="center" vertical="center"/>
    </xf>
    <xf numFmtId="164" fontId="47" fillId="13" borderId="1" xfId="3" applyNumberFormat="1" applyBorder="1" applyAlignment="1">
      <alignment horizontal="center"/>
    </xf>
    <xf numFmtId="166" fontId="46" fillId="11" borderId="1" xfId="2" applyNumberFormat="1" applyBorder="1" applyAlignment="1">
      <alignment horizontal="center"/>
    </xf>
    <xf numFmtId="0" fontId="47" fillId="13" borderId="29" xfId="3" applyBorder="1" applyAlignment="1">
      <alignment horizontal="center" vertical="center"/>
    </xf>
    <xf numFmtId="0" fontId="0" fillId="0" borderId="8" xfId="0" applyBorder="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horizontal="center"/>
    </xf>
    <xf numFmtId="0" fontId="47" fillId="13" borderId="9" xfId="3" applyBorder="1" applyAlignment="1">
      <alignment horizontal="center" vertical="center"/>
    </xf>
    <xf numFmtId="0" fontId="2" fillId="0" borderId="1" xfId="0" applyFont="1" applyBorder="1" applyAlignment="1">
      <alignment horizontal="center" vertical="center" wrapText="1"/>
    </xf>
    <xf numFmtId="0" fontId="0" fillId="0" borderId="27" xfId="0" applyBorder="1" applyAlignment="1">
      <alignment horizontal="center"/>
    </xf>
    <xf numFmtId="0" fontId="0" fillId="0" borderId="28" xfId="0" applyBorder="1" applyAlignment="1">
      <alignment horizontal="center"/>
    </xf>
    <xf numFmtId="2" fontId="47" fillId="13" borderId="28" xfId="3" applyNumberFormat="1" applyBorder="1" applyAlignment="1">
      <alignment horizontal="center"/>
    </xf>
    <xf numFmtId="0" fontId="2" fillId="0" borderId="25" xfId="0" applyFont="1" applyBorder="1"/>
    <xf numFmtId="1" fontId="47" fillId="13" borderId="6" xfId="3" applyNumberFormat="1" applyBorder="1" applyAlignment="1">
      <alignment horizontal="center" vertical="center"/>
    </xf>
    <xf numFmtId="0" fontId="30" fillId="0" borderId="0" xfId="0" applyFont="1"/>
    <xf numFmtId="0" fontId="30" fillId="0" borderId="0" xfId="0" applyFont="1" applyAlignment="1">
      <alignment horizontal="center"/>
    </xf>
    <xf numFmtId="164" fontId="0" fillId="0" borderId="0" xfId="0" applyNumberFormat="1" applyAlignment="1">
      <alignment horizontal="center"/>
    </xf>
    <xf numFmtId="0" fontId="1" fillId="0" borderId="0" xfId="0" applyFont="1" applyAlignment="1">
      <alignment vertical="center"/>
    </xf>
    <xf numFmtId="0" fontId="47" fillId="13" borderId="37" xfId="3" applyBorder="1" applyAlignment="1">
      <alignment horizontal="center" vertical="center"/>
    </xf>
    <xf numFmtId="0" fontId="47" fillId="10" borderId="37" xfId="1" applyBorder="1" applyAlignment="1">
      <alignment horizontal="center" vertical="center"/>
    </xf>
    <xf numFmtId="0" fontId="46" fillId="11" borderId="37" xfId="2" applyBorder="1" applyAlignment="1">
      <alignment horizontal="center" vertical="center"/>
    </xf>
    <xf numFmtId="0" fontId="48" fillId="12" borderId="38" xfId="4" applyBorder="1" applyAlignment="1">
      <alignment horizontal="center" vertical="center"/>
    </xf>
    <xf numFmtId="0" fontId="0" fillId="0" borderId="41" xfId="0" applyBorder="1"/>
    <xf numFmtId="0" fontId="14" fillId="0" borderId="0" xfId="0" applyFont="1" applyAlignment="1">
      <alignment horizontal="center" vertical="center"/>
    </xf>
    <xf numFmtId="0" fontId="35" fillId="0" borderId="0" xfId="0" applyFont="1" applyAlignment="1">
      <alignment vertical="center"/>
    </xf>
    <xf numFmtId="0" fontId="33" fillId="0" borderId="0" xfId="0" applyFont="1" applyAlignment="1">
      <alignment vertical="center"/>
    </xf>
    <xf numFmtId="0" fontId="36" fillId="0" borderId="0" xfId="0" applyFont="1" applyAlignment="1">
      <alignment vertical="center"/>
    </xf>
    <xf numFmtId="0" fontId="0" fillId="0" borderId="43" xfId="0" applyBorder="1"/>
    <xf numFmtId="0" fontId="11" fillId="0" borderId="0" xfId="0" applyFont="1"/>
    <xf numFmtId="0" fontId="47" fillId="10" borderId="49" xfId="1" applyBorder="1" applyAlignment="1">
      <alignment horizontal="center" vertical="center"/>
    </xf>
    <xf numFmtId="0" fontId="35" fillId="0" borderId="0" xfId="0" applyFont="1"/>
    <xf numFmtId="0" fontId="35" fillId="0" borderId="0" xfId="0" applyFont="1" applyAlignment="1">
      <alignment horizontal="center" vertical="center"/>
    </xf>
    <xf numFmtId="0" fontId="54" fillId="0" borderId="0" xfId="0" applyFont="1" applyAlignment="1">
      <alignment horizontal="center" vertical="center"/>
    </xf>
    <xf numFmtId="0" fontId="39" fillId="0" borderId="0" xfId="0" applyFont="1" applyAlignment="1">
      <alignment horizontal="center" vertical="center"/>
    </xf>
    <xf numFmtId="2" fontId="35" fillId="13" borderId="49" xfId="3" applyNumberFormat="1" applyFont="1" applyBorder="1" applyAlignment="1">
      <alignment horizontal="center" vertical="center"/>
    </xf>
    <xf numFmtId="2" fontId="35" fillId="10" borderId="52" xfId="1" applyNumberFormat="1" applyFont="1" applyBorder="1" applyAlignment="1">
      <alignment horizontal="center" vertical="center"/>
    </xf>
    <xf numFmtId="0" fontId="6" fillId="0" borderId="7" xfId="0" applyFont="1" applyBorder="1" applyAlignment="1">
      <alignment horizontal="center"/>
    </xf>
    <xf numFmtId="0" fontId="0" fillId="0" borderId="0" xfId="0" applyAlignment="1">
      <alignment vertical="center" wrapText="1"/>
    </xf>
    <xf numFmtId="0" fontId="36" fillId="0" borderId="44" xfId="0" applyFont="1" applyBorder="1" applyAlignment="1">
      <alignment horizontal="center" vertical="center"/>
    </xf>
    <xf numFmtId="0" fontId="36" fillId="0" borderId="49" xfId="0" applyFont="1" applyBorder="1" applyAlignment="1">
      <alignment horizontal="center" vertical="center"/>
    </xf>
    <xf numFmtId="0" fontId="9" fillId="0" borderId="1" xfId="0" applyFont="1" applyBorder="1" applyAlignment="1">
      <alignment horizontal="center"/>
    </xf>
    <xf numFmtId="0" fontId="0" fillId="0" borderId="3" xfId="0" applyBorder="1" applyAlignment="1">
      <alignment horizontal="center" vertical="center"/>
    </xf>
    <xf numFmtId="0" fontId="47" fillId="13" borderId="6" xfId="3" applyBorder="1" applyAlignment="1">
      <alignment horizontal="center" vertical="center"/>
    </xf>
    <xf numFmtId="0" fontId="49" fillId="13" borderId="0" xfId="3" applyFont="1"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68" xfId="0" applyBorder="1" applyAlignment="1">
      <alignment horizontal="center"/>
    </xf>
    <xf numFmtId="0" fontId="0" fillId="0" borderId="62" xfId="0" applyBorder="1" applyAlignment="1">
      <alignment horizontal="center"/>
    </xf>
    <xf numFmtId="0" fontId="0" fillId="0" borderId="69" xfId="0" applyBorder="1" applyAlignment="1">
      <alignment horizontal="center"/>
    </xf>
    <xf numFmtId="0" fontId="0" fillId="0" borderId="68" xfId="0" applyBorder="1"/>
    <xf numFmtId="0" fontId="0" fillId="0" borderId="69" xfId="0" applyBorder="1" applyAlignment="1">
      <alignment horizontal="center" vertical="center"/>
    </xf>
    <xf numFmtId="0" fontId="1" fillId="0" borderId="69" xfId="0" applyFont="1" applyBorder="1" applyAlignment="1">
      <alignment horizontal="center" vertical="center"/>
    </xf>
    <xf numFmtId="0" fontId="1" fillId="0" borderId="70" xfId="0" applyFont="1" applyBorder="1" applyAlignment="1">
      <alignment horizontal="center" vertical="center"/>
    </xf>
    <xf numFmtId="0" fontId="0" fillId="0" borderId="62" xfId="0" applyBorder="1" applyAlignment="1">
      <alignment horizontal="center" vertical="center"/>
    </xf>
    <xf numFmtId="0" fontId="0" fillId="0" borderId="72" xfId="0" applyBorder="1" applyAlignment="1">
      <alignment horizontal="center" vertical="center"/>
    </xf>
    <xf numFmtId="0" fontId="26" fillId="0" borderId="71" xfId="0" applyFont="1" applyBorder="1" applyAlignment="1">
      <alignment horizontal="center"/>
    </xf>
    <xf numFmtId="0" fontId="1" fillId="6" borderId="70" xfId="0" applyFont="1" applyFill="1" applyBorder="1" applyAlignment="1">
      <alignment horizontal="center" vertical="center"/>
    </xf>
    <xf numFmtId="0" fontId="10" fillId="0" borderId="74" xfId="0" applyFont="1" applyBorder="1" applyAlignment="1">
      <alignment horizontal="center" vertical="center"/>
    </xf>
    <xf numFmtId="0" fontId="9" fillId="0" borderId="71" xfId="0" applyFont="1" applyBorder="1" applyAlignment="1">
      <alignment horizontal="center" vertical="center"/>
    </xf>
    <xf numFmtId="0" fontId="1" fillId="2" borderId="60" xfId="0" applyFont="1" applyFill="1" applyBorder="1" applyAlignment="1">
      <alignment horizontal="center" vertical="center"/>
    </xf>
    <xf numFmtId="0" fontId="0" fillId="0" borderId="43" xfId="0" applyBorder="1" applyAlignment="1">
      <alignment horizontal="center" vertical="center"/>
    </xf>
    <xf numFmtId="0" fontId="1" fillId="6" borderId="76" xfId="0" applyFont="1" applyFill="1" applyBorder="1" applyAlignment="1">
      <alignment horizontal="center" vertical="center"/>
    </xf>
    <xf numFmtId="0" fontId="1" fillId="6" borderId="77" xfId="0" applyFont="1" applyFill="1" applyBorder="1" applyAlignment="1">
      <alignment horizontal="center" vertical="center"/>
    </xf>
    <xf numFmtId="2" fontId="47" fillId="13" borderId="78" xfId="3" applyNumberFormat="1" applyBorder="1" applyAlignment="1">
      <alignment horizontal="center" vertical="center"/>
    </xf>
    <xf numFmtId="0" fontId="2" fillId="0" borderId="79" xfId="0" applyFont="1" applyBorder="1" applyAlignment="1">
      <alignment horizontal="center"/>
    </xf>
    <xf numFmtId="0" fontId="49" fillId="13" borderId="43" xfId="3" applyFont="1" applyBorder="1" applyAlignment="1">
      <alignment horizontal="center"/>
    </xf>
    <xf numFmtId="0" fontId="0" fillId="0" borderId="44" xfId="0" applyBorder="1" applyAlignment="1">
      <alignment horizontal="center" vertical="center"/>
    </xf>
    <xf numFmtId="0" fontId="2" fillId="0" borderId="44" xfId="0" applyFont="1" applyBorder="1" applyAlignment="1">
      <alignment horizontal="center" vertical="center"/>
    </xf>
    <xf numFmtId="0" fontId="2" fillId="0" borderId="61" xfId="0" applyFont="1" applyBorder="1" applyAlignment="1">
      <alignment vertical="center"/>
    </xf>
    <xf numFmtId="0" fontId="2" fillId="0" borderId="75" xfId="0" applyFont="1" applyBorder="1" applyAlignment="1">
      <alignment vertical="center"/>
    </xf>
    <xf numFmtId="0" fontId="0" fillId="0" borderId="44" xfId="0" applyBorder="1" applyAlignment="1">
      <alignment horizontal="center"/>
    </xf>
    <xf numFmtId="0" fontId="51" fillId="9" borderId="49" xfId="1" applyFont="1" applyFill="1" applyBorder="1" applyAlignment="1">
      <alignment horizontal="center" vertical="center" wrapText="1"/>
    </xf>
    <xf numFmtId="0" fontId="51" fillId="9" borderId="52" xfId="1" applyFont="1" applyFill="1" applyBorder="1" applyAlignment="1">
      <alignment horizontal="center" vertical="center" wrapText="1"/>
    </xf>
    <xf numFmtId="0" fontId="51" fillId="0" borderId="44" xfId="0" applyFont="1" applyBorder="1" applyAlignment="1">
      <alignment horizontal="center" vertical="center" wrapText="1"/>
    </xf>
    <xf numFmtId="166" fontId="35" fillId="13" borderId="44" xfId="3" applyNumberFormat="1" applyFont="1" applyBorder="1" applyAlignment="1">
      <alignment horizontal="center" vertical="center"/>
    </xf>
    <xf numFmtId="0" fontId="36" fillId="0" borderId="0" xfId="0" applyFont="1" applyAlignment="1">
      <alignment horizontal="center" vertical="center"/>
    </xf>
    <xf numFmtId="0" fontId="33" fillId="0" borderId="0" xfId="0" applyFont="1" applyAlignment="1">
      <alignment horizontal="center" vertical="center"/>
    </xf>
    <xf numFmtId="1" fontId="47" fillId="13" borderId="44" xfId="3" applyNumberFormat="1" applyBorder="1" applyAlignment="1">
      <alignment horizontal="center" vertical="center"/>
    </xf>
    <xf numFmtId="2" fontId="51" fillId="9" borderId="44" xfId="1" applyNumberFormat="1" applyFont="1" applyFill="1" applyBorder="1" applyAlignment="1">
      <alignment horizontal="center" vertical="center" wrapText="1"/>
    </xf>
    <xf numFmtId="2" fontId="35" fillId="13" borderId="56" xfId="3" applyNumberFormat="1" applyFont="1" applyBorder="1" applyAlignment="1">
      <alignment horizontal="center" vertical="center"/>
    </xf>
    <xf numFmtId="2" fontId="35" fillId="10" borderId="44" xfId="1" applyNumberFormat="1" applyFont="1" applyBorder="1" applyAlignment="1">
      <alignment horizontal="center" vertical="center"/>
    </xf>
    <xf numFmtId="2" fontId="48" fillId="12" borderId="1" xfId="4" applyNumberFormat="1" applyBorder="1">
      <alignment horizontal="center"/>
    </xf>
    <xf numFmtId="0" fontId="51" fillId="9" borderId="1" xfId="3" applyFont="1" applyFill="1" applyBorder="1" applyAlignment="1">
      <alignment horizontal="center" vertical="center" wrapText="1"/>
    </xf>
    <xf numFmtId="2" fontId="36" fillId="13" borderId="1" xfId="3" applyNumberFormat="1" applyFont="1" applyBorder="1" applyAlignment="1">
      <alignment horizontal="center" vertical="center"/>
    </xf>
    <xf numFmtId="2" fontId="47" fillId="13" borderId="14" xfId="3" applyNumberFormat="1" applyBorder="1" applyAlignment="1">
      <alignment horizontal="center" vertical="center"/>
    </xf>
    <xf numFmtId="0" fontId="18" fillId="9" borderId="0" xfId="0" applyFont="1" applyFill="1" applyAlignment="1">
      <alignment horizontal="center" vertical="center"/>
    </xf>
    <xf numFmtId="2" fontId="59" fillId="13" borderId="14" xfId="3" applyNumberFormat="1" applyFont="1" applyBorder="1" applyAlignment="1">
      <alignment horizontal="center" vertical="center"/>
    </xf>
    <xf numFmtId="167" fontId="0" fillId="0" borderId="0" xfId="0" applyNumberFormat="1"/>
    <xf numFmtId="0" fontId="0" fillId="9" borderId="8" xfId="0" applyFill="1" applyBorder="1" applyAlignment="1">
      <alignment horizontal="center"/>
    </xf>
    <xf numFmtId="0" fontId="0" fillId="9" borderId="1" xfId="0" applyFill="1" applyBorder="1" applyAlignment="1">
      <alignment horizontal="center"/>
    </xf>
    <xf numFmtId="165" fontId="47" fillId="13" borderId="17" xfId="3" applyNumberFormat="1" applyBorder="1" applyAlignment="1">
      <alignment horizontal="center"/>
    </xf>
    <xf numFmtId="0" fontId="47" fillId="13" borderId="18" xfId="3" applyBorder="1" applyAlignment="1">
      <alignment horizontal="center"/>
    </xf>
    <xf numFmtId="1" fontId="47" fillId="13" borderId="49" xfId="3" applyNumberFormat="1" applyBorder="1" applyAlignment="1">
      <alignment horizontal="center" vertical="center"/>
    </xf>
    <xf numFmtId="0" fontId="47" fillId="13" borderId="47" xfId="3" applyBorder="1" applyAlignment="1">
      <alignment horizontal="center" vertical="center"/>
    </xf>
    <xf numFmtId="0" fontId="0" fillId="0" borderId="86" xfId="0" applyBorder="1" applyAlignment="1">
      <alignment horizontal="center"/>
    </xf>
    <xf numFmtId="0" fontId="36" fillId="0" borderId="13" xfId="0" applyFont="1" applyBorder="1" applyAlignment="1">
      <alignment horizontal="center"/>
    </xf>
    <xf numFmtId="0" fontId="36" fillId="0" borderId="19" xfId="0" applyFont="1" applyBorder="1" applyAlignment="1">
      <alignment horizontal="center"/>
    </xf>
    <xf numFmtId="0" fontId="36" fillId="0" borderId="12" xfId="0" applyFont="1" applyBorder="1" applyAlignment="1">
      <alignment horizontal="center"/>
    </xf>
    <xf numFmtId="17" fontId="35" fillId="14" borderId="87" xfId="0" applyNumberFormat="1" applyFont="1" applyFill="1" applyBorder="1"/>
    <xf numFmtId="0" fontId="35" fillId="14" borderId="4" xfId="0" applyFont="1" applyFill="1" applyBorder="1"/>
    <xf numFmtId="0" fontId="35" fillId="14" borderId="15" xfId="0" applyFont="1" applyFill="1" applyBorder="1"/>
    <xf numFmtId="0" fontId="35" fillId="14" borderId="8" xfId="0" applyFont="1" applyFill="1" applyBorder="1"/>
    <xf numFmtId="0" fontId="35" fillId="14" borderId="1" xfId="0" applyFont="1" applyFill="1" applyBorder="1"/>
    <xf numFmtId="0" fontId="35" fillId="14" borderId="9" xfId="0" applyFont="1" applyFill="1" applyBorder="1"/>
    <xf numFmtId="0" fontId="35" fillId="14" borderId="11" xfId="0" applyFont="1" applyFill="1" applyBorder="1"/>
    <xf numFmtId="0" fontId="35" fillId="14" borderId="14" xfId="0" applyFont="1" applyFill="1" applyBorder="1"/>
    <xf numFmtId="0" fontId="35" fillId="14" borderId="10" xfId="0" applyFont="1" applyFill="1" applyBorder="1"/>
    <xf numFmtId="164" fontId="47" fillId="9" borderId="1" xfId="3" applyNumberFormat="1" applyFill="1" applyBorder="1" applyAlignment="1">
      <alignment horizontal="center" vertical="center"/>
    </xf>
    <xf numFmtId="0" fontId="0" fillId="0" borderId="1" xfId="0" applyBorder="1"/>
    <xf numFmtId="0" fontId="1" fillId="0" borderId="1" xfId="0" applyFont="1" applyBorder="1" applyAlignment="1">
      <alignment horizontal="center" vertical="top"/>
    </xf>
    <xf numFmtId="0" fontId="1" fillId="0" borderId="1" xfId="0" applyFont="1" applyBorder="1"/>
    <xf numFmtId="0" fontId="1" fillId="0" borderId="3" xfId="0" applyFont="1" applyBorder="1" applyAlignment="1">
      <alignment horizontal="left" vertical="top"/>
    </xf>
    <xf numFmtId="0" fontId="0" fillId="0" borderId="21" xfId="0" applyBorder="1"/>
    <xf numFmtId="0" fontId="0" fillId="0" borderId="0" xfId="0" quotePrefix="1"/>
    <xf numFmtId="0" fontId="0" fillId="0" borderId="24" xfId="0" applyBorder="1"/>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15" borderId="0" xfId="0" applyFill="1"/>
    <xf numFmtId="0" fontId="47" fillId="10" borderId="44" xfId="1" applyBorder="1" applyAlignment="1">
      <alignment horizontal="center" vertical="center"/>
    </xf>
    <xf numFmtId="0" fontId="35" fillId="10" borderId="44" xfId="1" applyFont="1" applyBorder="1" applyAlignment="1">
      <alignment horizontal="center" vertical="center"/>
    </xf>
    <xf numFmtId="0" fontId="51" fillId="9" borderId="44" xfId="1" applyFont="1" applyFill="1" applyBorder="1" applyAlignment="1">
      <alignment horizontal="center" vertical="center" wrapText="1"/>
    </xf>
    <xf numFmtId="0" fontId="51" fillId="9" borderId="44" xfId="1" applyFont="1" applyFill="1" applyBorder="1" applyAlignment="1">
      <alignment horizontal="center" vertical="center"/>
    </xf>
    <xf numFmtId="2" fontId="60" fillId="13" borderId="9" xfId="3" applyNumberFormat="1" applyFont="1" applyBorder="1" applyAlignment="1">
      <alignment horizontal="center"/>
    </xf>
    <xf numFmtId="168" fontId="35" fillId="10" borderId="52" xfId="5" applyNumberFormat="1" applyFont="1" applyFill="1" applyBorder="1" applyAlignment="1">
      <alignment horizontal="center" vertical="center"/>
    </xf>
    <xf numFmtId="0" fontId="64" fillId="0" borderId="0" xfId="0" applyFont="1"/>
    <xf numFmtId="0" fontId="65" fillId="0" borderId="0" xfId="0" applyFont="1"/>
    <xf numFmtId="0" fontId="66" fillId="0" borderId="0" xfId="0" applyFont="1" applyAlignment="1">
      <alignment horizontal="left"/>
    </xf>
    <xf numFmtId="0" fontId="67" fillId="0" borderId="0" xfId="0" applyFont="1" applyAlignment="1">
      <alignment horizontal="left"/>
    </xf>
    <xf numFmtId="0" fontId="65" fillId="0" borderId="0" xfId="0" applyFont="1" applyAlignment="1">
      <alignment horizontal="left"/>
    </xf>
    <xf numFmtId="0" fontId="68" fillId="0" borderId="0" xfId="0" applyFont="1"/>
    <xf numFmtId="0" fontId="65" fillId="0" borderId="0" xfId="0" applyFont="1" applyAlignment="1">
      <alignment wrapText="1"/>
    </xf>
    <xf numFmtId="0" fontId="6" fillId="0" borderId="0" xfId="0" applyFont="1" applyAlignment="1">
      <alignment wrapText="1"/>
    </xf>
    <xf numFmtId="0" fontId="6" fillId="0" borderId="0" xfId="0" applyFont="1" applyAlignment="1">
      <alignment horizontal="left"/>
    </xf>
    <xf numFmtId="0" fontId="0" fillId="0" borderId="0" xfId="0" applyAlignment="1">
      <alignment vertical="top" wrapText="1"/>
    </xf>
    <xf numFmtId="0" fontId="2" fillId="0" borderId="9" xfId="0" applyFont="1" applyBorder="1" applyAlignment="1">
      <alignment horizontal="center" vertical="center" wrapText="1"/>
    </xf>
    <xf numFmtId="0" fontId="65" fillId="9" borderId="0" xfId="0" applyFont="1" applyFill="1"/>
    <xf numFmtId="0" fontId="0" fillId="0" borderId="95" xfId="0" applyBorder="1" applyAlignment="1">
      <alignment horizontal="center" vertical="center"/>
    </xf>
    <xf numFmtId="0" fontId="0" fillId="0" borderId="101" xfId="0" applyBorder="1" applyAlignment="1">
      <alignment horizontal="center" vertical="center"/>
    </xf>
    <xf numFmtId="0" fontId="0" fillId="0" borderId="103" xfId="0" applyBorder="1" applyAlignment="1">
      <alignment horizontal="center" vertical="center"/>
    </xf>
    <xf numFmtId="0" fontId="0" fillId="0" borderId="105" xfId="0" applyBorder="1" applyAlignment="1">
      <alignment horizontal="center" vertical="center"/>
    </xf>
    <xf numFmtId="0" fontId="0" fillId="0" borderId="107" xfId="0" applyBorder="1" applyAlignment="1">
      <alignment horizontal="center" vertical="center"/>
    </xf>
    <xf numFmtId="0" fontId="0" fillId="0" borderId="2" xfId="0" applyBorder="1" applyAlignment="1">
      <alignment vertical="top" wrapText="1"/>
    </xf>
    <xf numFmtId="0" fontId="6" fillId="0" borderId="0" xfId="0" applyFont="1" applyAlignment="1">
      <alignment vertical="center"/>
    </xf>
    <xf numFmtId="0" fontId="65" fillId="0" borderId="0" xfId="0" applyFont="1" applyAlignment="1">
      <alignment vertical="center"/>
    </xf>
    <xf numFmtId="0" fontId="0" fillId="0" borderId="0" xfId="0" applyAlignment="1">
      <alignment vertical="top"/>
    </xf>
    <xf numFmtId="0" fontId="71" fillId="0" borderId="0" xfId="0" applyFont="1" applyAlignment="1">
      <alignment vertical="center"/>
    </xf>
    <xf numFmtId="2" fontId="70" fillId="0" borderId="0" xfId="0" applyNumberFormat="1" applyFont="1" applyAlignment="1">
      <alignment vertical="center"/>
    </xf>
    <xf numFmtId="0" fontId="33" fillId="9" borderId="0" xfId="0" applyFont="1" applyFill="1" applyAlignment="1">
      <alignment vertical="center"/>
    </xf>
    <xf numFmtId="0" fontId="35" fillId="10" borderId="52" xfId="1" applyFont="1" applyBorder="1" applyAlignment="1">
      <alignment horizontal="center" vertical="center"/>
    </xf>
    <xf numFmtId="0" fontId="36" fillId="16" borderId="25" xfId="0" applyFont="1" applyFill="1" applyBorder="1" applyAlignment="1">
      <alignment vertical="center"/>
    </xf>
    <xf numFmtId="0" fontId="1" fillId="16" borderId="25" xfId="0" applyFont="1" applyFill="1" applyBorder="1" applyAlignment="1">
      <alignment vertical="center"/>
    </xf>
    <xf numFmtId="0" fontId="72" fillId="9" borderId="0" xfId="0" applyFont="1" applyFill="1"/>
    <xf numFmtId="169" fontId="0" fillId="14" borderId="1" xfId="0" applyNumberFormat="1" applyFill="1" applyBorder="1" applyAlignment="1">
      <alignment horizontal="center" vertical="center"/>
    </xf>
    <xf numFmtId="0" fontId="73" fillId="0" borderId="0" xfId="0" applyFont="1" applyAlignment="1">
      <alignment vertical="center"/>
    </xf>
    <xf numFmtId="0" fontId="74" fillId="0" borderId="0" xfId="0" applyFont="1" applyAlignment="1">
      <alignment vertical="center"/>
    </xf>
    <xf numFmtId="0" fontId="75" fillId="0" borderId="0" xfId="0" applyFont="1" applyAlignment="1">
      <alignment vertical="center"/>
    </xf>
    <xf numFmtId="0" fontId="77" fillId="16" borderId="25" xfId="0" applyFont="1" applyFill="1" applyBorder="1" applyAlignment="1">
      <alignment vertical="center"/>
    </xf>
    <xf numFmtId="0" fontId="72" fillId="16" borderId="25" xfId="0" applyFont="1" applyFill="1" applyBorder="1" applyAlignment="1">
      <alignment vertical="center"/>
    </xf>
    <xf numFmtId="0" fontId="51" fillId="9" borderId="4" xfId="3" applyFont="1" applyFill="1" applyBorder="1" applyAlignment="1">
      <alignment horizontal="center" vertical="center" wrapText="1"/>
    </xf>
    <xf numFmtId="2" fontId="47" fillId="13" borderId="4" xfId="3" applyNumberFormat="1" applyBorder="1" applyAlignment="1">
      <alignment horizontal="center" vertical="center"/>
    </xf>
    <xf numFmtId="0" fontId="33" fillId="16" borderId="25" xfId="0" applyFont="1" applyFill="1" applyBorder="1" applyAlignment="1">
      <alignment vertical="center"/>
    </xf>
    <xf numFmtId="0" fontId="36" fillId="0" borderId="117" xfId="0" applyFont="1" applyBorder="1" applyAlignment="1">
      <alignment horizontal="center" vertical="center"/>
    </xf>
    <xf numFmtId="165" fontId="47" fillId="13" borderId="43" xfId="3" applyNumberFormat="1" applyBorder="1" applyAlignment="1">
      <alignment horizontal="center" vertical="center"/>
    </xf>
    <xf numFmtId="0" fontId="36" fillId="0" borderId="43" xfId="0" applyFont="1" applyBorder="1" applyAlignment="1">
      <alignment horizontal="center" vertical="center"/>
    </xf>
    <xf numFmtId="0" fontId="47" fillId="13" borderId="43" xfId="3" applyBorder="1" applyAlignment="1">
      <alignment horizontal="center" vertical="center"/>
    </xf>
    <xf numFmtId="0" fontId="36" fillId="0" borderId="75" xfId="0" applyFont="1" applyBorder="1" applyAlignment="1">
      <alignment horizontal="center" vertical="center"/>
    </xf>
    <xf numFmtId="0" fontId="78" fillId="16" borderId="25" xfId="0" applyFont="1" applyFill="1" applyBorder="1" applyAlignment="1">
      <alignment vertical="center"/>
    </xf>
    <xf numFmtId="0" fontId="0" fillId="0" borderId="32" xfId="0" applyBorder="1" applyAlignment="1">
      <alignment horizontal="center" vertical="center"/>
    </xf>
    <xf numFmtId="0" fontId="35" fillId="0" borderId="32" xfId="0" applyFont="1" applyBorder="1" applyAlignment="1">
      <alignment horizontal="center" vertical="center"/>
    </xf>
    <xf numFmtId="0" fontId="61" fillId="0" borderId="32" xfId="0" applyFont="1" applyBorder="1" applyAlignment="1">
      <alignment horizontal="left" vertical="center"/>
    </xf>
    <xf numFmtId="0" fontId="14" fillId="0" borderId="32" xfId="0" applyFont="1" applyBorder="1" applyAlignment="1">
      <alignment horizontal="center" vertical="center"/>
    </xf>
    <xf numFmtId="0" fontId="0" fillId="0" borderId="21" xfId="0" applyBorder="1" applyAlignment="1">
      <alignment horizontal="center" vertical="center"/>
    </xf>
    <xf numFmtId="0" fontId="51" fillId="9" borderId="114" xfId="1" applyFont="1" applyFill="1" applyBorder="1" applyAlignment="1">
      <alignment horizontal="center" vertical="center" wrapText="1"/>
    </xf>
    <xf numFmtId="2" fontId="35" fillId="10" borderId="114" xfId="1" applyNumberFormat="1" applyFont="1" applyBorder="1" applyAlignment="1">
      <alignment horizontal="center" vertical="center"/>
    </xf>
    <xf numFmtId="0" fontId="35" fillId="10" borderId="114" xfId="1" applyFont="1" applyBorder="1" applyAlignment="1">
      <alignment horizontal="center" vertical="center"/>
    </xf>
    <xf numFmtId="0" fontId="61" fillId="0" borderId="0" xfId="0" applyFont="1" applyAlignment="1">
      <alignment vertical="center"/>
    </xf>
    <xf numFmtId="0" fontId="61" fillId="0" borderId="32" xfId="0" applyFont="1" applyBorder="1" applyAlignment="1">
      <alignment vertical="center"/>
    </xf>
    <xf numFmtId="0" fontId="18" fillId="9" borderId="32" xfId="0" applyFont="1" applyFill="1" applyBorder="1" applyAlignment="1">
      <alignment horizontal="center" vertical="center"/>
    </xf>
    <xf numFmtId="0" fontId="63" fillId="0" borderId="0" xfId="0" applyFont="1"/>
    <xf numFmtId="0" fontId="79" fillId="9" borderId="0" xfId="0" applyFont="1" applyFill="1" applyAlignment="1">
      <alignment vertical="center"/>
    </xf>
    <xf numFmtId="0" fontId="0" fillId="0" borderId="145" xfId="0" applyBorder="1" applyAlignment="1">
      <alignment horizontal="center" vertical="center"/>
    </xf>
    <xf numFmtId="0" fontId="47" fillId="13" borderId="146" xfId="3" applyBorder="1" applyAlignment="1">
      <alignment horizontal="center" vertical="center"/>
    </xf>
    <xf numFmtId="0" fontId="47" fillId="10" borderId="146" xfId="1" applyBorder="1" applyAlignment="1">
      <alignment horizontal="center" vertical="center"/>
    </xf>
    <xf numFmtId="0" fontId="46" fillId="11" borderId="146" xfId="2" applyBorder="1" applyAlignment="1">
      <alignment horizontal="center" vertical="center"/>
    </xf>
    <xf numFmtId="0" fontId="0" fillId="0" borderId="32" xfId="0" applyBorder="1" applyAlignment="1">
      <alignment wrapText="1"/>
    </xf>
    <xf numFmtId="0" fontId="0" fillId="0" borderId="148" xfId="0" applyBorder="1" applyAlignment="1">
      <alignment horizontal="center" vertical="center"/>
    </xf>
    <xf numFmtId="166" fontId="47" fillId="13" borderId="149" xfId="3" applyNumberFormat="1" applyBorder="1" applyAlignment="1">
      <alignment horizontal="center" vertical="center"/>
    </xf>
    <xf numFmtId="1" fontId="47" fillId="13" borderId="149" xfId="3" applyNumberFormat="1" applyBorder="1" applyAlignment="1">
      <alignment horizontal="center" vertical="center"/>
    </xf>
    <xf numFmtId="0" fontId="0" fillId="0" borderId="150" xfId="0" applyBorder="1" applyAlignment="1">
      <alignment horizontal="center" vertical="center"/>
    </xf>
    <xf numFmtId="0" fontId="51" fillId="9" borderId="153" xfId="1" applyFont="1" applyFill="1" applyBorder="1" applyAlignment="1">
      <alignment horizontal="center" vertical="center" wrapText="1"/>
    </xf>
    <xf numFmtId="0" fontId="36" fillId="13" borderId="114" xfId="3" applyFont="1" applyBorder="1" applyAlignment="1">
      <alignment horizontal="center" vertical="center"/>
    </xf>
    <xf numFmtId="0" fontId="3" fillId="0" borderId="154" xfId="0" applyFont="1" applyBorder="1"/>
    <xf numFmtId="0" fontId="3" fillId="0" borderId="5" xfId="0" applyFont="1" applyBorder="1"/>
    <xf numFmtId="0" fontId="3" fillId="0" borderId="155" xfId="0" applyFont="1" applyBorder="1"/>
    <xf numFmtId="2" fontId="47" fillId="13" borderId="9" xfId="3" applyNumberFormat="1" applyBorder="1" applyAlignment="1">
      <alignment horizontal="center"/>
    </xf>
    <xf numFmtId="0" fontId="47" fillId="13" borderId="9" xfId="3" applyBorder="1" applyAlignment="1">
      <alignment horizontal="center"/>
    </xf>
    <xf numFmtId="0" fontId="0" fillId="0" borderId="103" xfId="0" applyBorder="1" applyAlignment="1">
      <alignment horizontal="center"/>
    </xf>
    <xf numFmtId="2" fontId="47" fillId="13" borderId="123" xfId="3" applyNumberFormat="1" applyBorder="1" applyAlignment="1">
      <alignment horizontal="center"/>
    </xf>
    <xf numFmtId="2" fontId="47" fillId="13" borderId="123" xfId="3" applyNumberFormat="1" applyBorder="1" applyAlignment="1">
      <alignment horizontal="center" vertical="center"/>
    </xf>
    <xf numFmtId="0" fontId="4" fillId="0" borderId="103" xfId="0" applyFont="1" applyBorder="1" applyAlignment="1">
      <alignment horizontal="center" vertical="center"/>
    </xf>
    <xf numFmtId="0" fontId="47" fillId="13" borderId="123" xfId="3" applyBorder="1" applyAlignment="1">
      <alignment horizontal="center"/>
    </xf>
    <xf numFmtId="0" fontId="46" fillId="11" borderId="34" xfId="2" applyBorder="1" applyAlignment="1">
      <alignment horizontal="center"/>
    </xf>
    <xf numFmtId="0" fontId="46" fillId="11" borderId="9" xfId="2" applyBorder="1" applyAlignment="1">
      <alignment horizontal="center"/>
    </xf>
    <xf numFmtId="2" fontId="46" fillId="11" borderId="9" xfId="2" applyNumberFormat="1" applyBorder="1" applyAlignment="1">
      <alignment horizontal="center"/>
    </xf>
    <xf numFmtId="166" fontId="47" fillId="13" borderId="9" xfId="3" applyNumberFormat="1" applyBorder="1" applyAlignment="1">
      <alignment horizontal="center"/>
    </xf>
    <xf numFmtId="1" fontId="47" fillId="13" borderId="9" xfId="3" applyNumberFormat="1" applyBorder="1" applyAlignment="1">
      <alignment horizontal="center"/>
    </xf>
    <xf numFmtId="2" fontId="46" fillId="11" borderId="10" xfId="2" applyNumberFormat="1" applyBorder="1" applyAlignment="1">
      <alignment horizontal="center"/>
    </xf>
    <xf numFmtId="0" fontId="60" fillId="11" borderId="9" xfId="2" applyFont="1" applyBorder="1" applyAlignment="1">
      <alignment horizontal="center"/>
    </xf>
    <xf numFmtId="0" fontId="60" fillId="13" borderId="9" xfId="3" applyFont="1" applyBorder="1" applyAlignment="1">
      <alignment horizontal="center"/>
    </xf>
    <xf numFmtId="1" fontId="60" fillId="13" borderId="9" xfId="3" applyNumberFormat="1" applyFont="1" applyBorder="1" applyAlignment="1">
      <alignment horizontal="center"/>
    </xf>
    <xf numFmtId="2" fontId="60" fillId="13" borderId="10" xfId="3" applyNumberFormat="1" applyFont="1" applyBorder="1" applyAlignment="1">
      <alignment horizontal="center"/>
    </xf>
    <xf numFmtId="2" fontId="0" fillId="0" borderId="26" xfId="0" applyNumberFormat="1" applyBorder="1" applyAlignment="1">
      <alignment horizontal="center"/>
    </xf>
    <xf numFmtId="0" fontId="3" fillId="0" borderId="32" xfId="0" applyFont="1" applyBorder="1" applyAlignment="1">
      <alignment horizontal="center"/>
    </xf>
    <xf numFmtId="0" fontId="3" fillId="0" borderId="0" xfId="0" applyFont="1" applyAlignment="1">
      <alignment horizontal="center"/>
    </xf>
    <xf numFmtId="0" fontId="3" fillId="0" borderId="34" xfId="0" applyFont="1" applyBorder="1" applyAlignment="1">
      <alignment horizontal="center"/>
    </xf>
    <xf numFmtId="0" fontId="6" fillId="0" borderId="158" xfId="0" applyFont="1" applyBorder="1" applyAlignment="1">
      <alignment horizontal="center"/>
    </xf>
    <xf numFmtId="0" fontId="47" fillId="10" borderId="159" xfId="1" applyBorder="1" applyAlignment="1">
      <alignment horizontal="center"/>
    </xf>
    <xf numFmtId="0" fontId="0" fillId="0" borderId="14" xfId="0" applyBorder="1" applyAlignment="1">
      <alignment horizontal="center"/>
    </xf>
    <xf numFmtId="0" fontId="47" fillId="13" borderId="10" xfId="3" applyBorder="1" applyAlignment="1">
      <alignment horizontal="center"/>
    </xf>
    <xf numFmtId="164" fontId="47" fillId="13" borderId="155" xfId="3" applyNumberFormat="1" applyBorder="1" applyAlignment="1">
      <alignment horizontal="center"/>
    </xf>
    <xf numFmtId="0" fontId="0" fillId="0" borderId="155" xfId="0" applyBorder="1" applyAlignment="1">
      <alignment horizontal="center"/>
    </xf>
    <xf numFmtId="0" fontId="2" fillId="0" borderId="20" xfId="0" applyFont="1" applyBorder="1" applyAlignment="1">
      <alignment horizontal="center" vertical="center"/>
    </xf>
    <xf numFmtId="0" fontId="2" fillId="0" borderId="154" xfId="0" applyFont="1" applyBorder="1" applyAlignment="1">
      <alignment horizontal="center"/>
    </xf>
    <xf numFmtId="0" fontId="1" fillId="9" borderId="154" xfId="0" applyFont="1" applyFill="1" applyBorder="1"/>
    <xf numFmtId="0" fontId="2" fillId="0" borderId="154" xfId="0" applyFont="1" applyBorder="1" applyAlignment="1">
      <alignment horizontal="center" vertical="center"/>
    </xf>
    <xf numFmtId="0" fontId="18" fillId="9" borderId="154" xfId="0" applyFont="1" applyFill="1" applyBorder="1"/>
    <xf numFmtId="2" fontId="60" fillId="9" borderId="154" xfId="3" applyNumberFormat="1" applyFont="1" applyFill="1" applyBorder="1" applyAlignment="1"/>
    <xf numFmtId="0" fontId="2" fillId="0" borderId="154" xfId="0" applyFont="1" applyBorder="1" applyAlignment="1">
      <alignment horizontal="center" vertical="center" wrapText="1"/>
    </xf>
    <xf numFmtId="2" fontId="47" fillId="13" borderId="154" xfId="3" applyNumberFormat="1" applyBorder="1" applyAlignment="1">
      <alignment horizontal="center" vertical="center"/>
    </xf>
    <xf numFmtId="0" fontId="3" fillId="0" borderId="154" xfId="0" applyFont="1" applyBorder="1" applyAlignment="1">
      <alignment horizontal="center"/>
    </xf>
    <xf numFmtId="0" fontId="0" fillId="9" borderId="154" xfId="0" applyFill="1" applyBorder="1"/>
    <xf numFmtId="0" fontId="0" fillId="0" borderId="89" xfId="0" applyBorder="1"/>
    <xf numFmtId="0" fontId="2" fillId="0" borderId="5" xfId="0" applyFont="1" applyBorder="1"/>
    <xf numFmtId="0" fontId="2" fillId="0" borderId="5" xfId="0" applyFont="1" applyBorder="1" applyAlignment="1">
      <alignment vertical="center"/>
    </xf>
    <xf numFmtId="0" fontId="6" fillId="0" borderId="5" xfId="0" applyFont="1" applyBorder="1" applyAlignment="1">
      <alignment horizontal="center"/>
    </xf>
    <xf numFmtId="0" fontId="2" fillId="0" borderId="5" xfId="0" applyFont="1" applyBorder="1" applyAlignment="1">
      <alignment wrapText="1"/>
    </xf>
    <xf numFmtId="0" fontId="36" fillId="0" borderId="5" xfId="0" applyFont="1" applyBorder="1" applyAlignment="1">
      <alignment horizontal="center" vertical="center"/>
    </xf>
    <xf numFmtId="0" fontId="0" fillId="0" borderId="91" xfId="0" applyBorder="1"/>
    <xf numFmtId="0" fontId="0" fillId="0" borderId="30" xfId="0" applyBorder="1"/>
    <xf numFmtId="0" fontId="8" fillId="9" borderId="30" xfId="0" applyFont="1" applyFill="1" applyBorder="1" applyAlignment="1">
      <alignment vertical="center"/>
    </xf>
    <xf numFmtId="0" fontId="0" fillId="0" borderId="109" xfId="0" applyBorder="1"/>
    <xf numFmtId="0" fontId="83" fillId="9" borderId="113" xfId="0" applyFont="1" applyFill="1" applyBorder="1" applyAlignment="1">
      <alignment horizontal="center"/>
    </xf>
    <xf numFmtId="0" fontId="0" fillId="0" borderId="31" xfId="0" applyBorder="1"/>
    <xf numFmtId="0" fontId="0" fillId="0" borderId="155" xfId="0" applyBorder="1"/>
    <xf numFmtId="0" fontId="0" fillId="0" borderId="110" xfId="0" applyBorder="1"/>
    <xf numFmtId="0" fontId="49" fillId="13" borderId="20" xfId="3" applyFont="1" applyBorder="1" applyAlignment="1">
      <alignment horizontal="left"/>
    </xf>
    <xf numFmtId="0" fontId="2" fillId="0" borderId="154" xfId="0" applyFont="1" applyBorder="1" applyAlignment="1">
      <alignment horizontal="left"/>
    </xf>
    <xf numFmtId="0" fontId="49" fillId="13" borderId="154" xfId="3" applyFont="1" applyBorder="1" applyAlignment="1">
      <alignment horizontal="left"/>
    </xf>
    <xf numFmtId="0" fontId="2" fillId="0" borderId="154" xfId="0" applyFont="1" applyBorder="1" applyAlignment="1">
      <alignment vertical="center"/>
    </xf>
    <xf numFmtId="0" fontId="2" fillId="0" borderId="154" xfId="0" applyFont="1" applyBorder="1"/>
    <xf numFmtId="0" fontId="0" fillId="0" borderId="154" xfId="0" applyBorder="1"/>
    <xf numFmtId="0" fontId="50" fillId="11" borderId="154" xfId="2" applyFont="1" applyBorder="1"/>
    <xf numFmtId="0" fontId="49" fillId="13" borderId="154" xfId="3" applyFont="1" applyBorder="1"/>
    <xf numFmtId="0" fontId="50" fillId="11" borderId="154" xfId="2" applyFont="1" applyBorder="1" applyAlignment="1">
      <alignment horizontal="left" vertical="center" wrapText="1"/>
    </xf>
    <xf numFmtId="0" fontId="39" fillId="9" borderId="154" xfId="3" applyFont="1" applyFill="1" applyBorder="1" applyAlignment="1">
      <alignment horizontal="left" vertical="center"/>
    </xf>
    <xf numFmtId="0" fontId="0" fillId="0" borderId="160" xfId="0" applyBorder="1"/>
    <xf numFmtId="0" fontId="2" fillId="0" borderId="1" xfId="0" applyFont="1" applyBorder="1" applyAlignment="1">
      <alignment horizontal="left" vertical="center"/>
    </xf>
    <xf numFmtId="2" fontId="47" fillId="9" borderId="0" xfId="3" applyNumberFormat="1" applyFill="1" applyBorder="1" applyAlignment="1">
      <alignment horizontal="center"/>
    </xf>
    <xf numFmtId="0" fontId="63" fillId="0" borderId="24" xfId="0" applyFont="1" applyBorder="1" applyAlignment="1">
      <alignment vertical="center"/>
    </xf>
    <xf numFmtId="0" fontId="63" fillId="0" borderId="25" xfId="0" applyFont="1" applyBorder="1" applyAlignment="1">
      <alignment vertical="center"/>
    </xf>
    <xf numFmtId="17" fontId="35" fillId="14" borderId="8" xfId="0" applyNumberFormat="1" applyFont="1" applyFill="1" applyBorder="1"/>
    <xf numFmtId="0" fontId="0" fillId="9" borderId="1" xfId="0" applyFill="1" applyBorder="1" applyAlignment="1">
      <alignment horizontal="center" vertical="center"/>
    </xf>
    <xf numFmtId="0" fontId="47" fillId="9" borderId="1" xfId="3" applyFill="1" applyBorder="1" applyAlignment="1">
      <alignment horizontal="center" vertical="center"/>
    </xf>
    <xf numFmtId="0" fontId="47" fillId="9" borderId="1" xfId="1" applyFill="1" applyBorder="1" applyAlignment="1">
      <alignment horizontal="center" vertical="center"/>
    </xf>
    <xf numFmtId="0" fontId="46" fillId="9" borderId="1" xfId="2" applyFill="1" applyBorder="1" applyAlignment="1">
      <alignment horizontal="center" vertical="center"/>
    </xf>
    <xf numFmtId="0" fontId="48" fillId="9" borderId="1" xfId="4" applyFill="1" applyBorder="1" applyAlignment="1">
      <alignment vertical="center" wrapText="1"/>
    </xf>
    <xf numFmtId="0" fontId="86" fillId="11" borderId="9" xfId="2" applyFont="1" applyBorder="1" applyAlignment="1">
      <alignment horizontal="center"/>
    </xf>
    <xf numFmtId="165" fontId="47" fillId="13" borderId="155" xfId="3" applyNumberFormat="1" applyBorder="1" applyAlignment="1">
      <alignment horizontal="center"/>
    </xf>
    <xf numFmtId="2" fontId="35" fillId="10" borderId="56" xfId="1" applyNumberFormat="1" applyFont="1" applyBorder="1" applyAlignment="1">
      <alignment horizontal="center" vertical="center"/>
    </xf>
    <xf numFmtId="0" fontId="34" fillId="0" borderId="0" xfId="0" applyFont="1" applyAlignment="1">
      <alignment horizontal="center" vertical="center"/>
    </xf>
    <xf numFmtId="0" fontId="0" fillId="0" borderId="96" xfId="0" applyBorder="1" applyAlignment="1">
      <alignment horizontal="center" vertical="center"/>
    </xf>
    <xf numFmtId="0" fontId="0" fillId="0" borderId="97" xfId="0" applyBorder="1" applyAlignment="1">
      <alignment horizontal="center" vertical="center"/>
    </xf>
    <xf numFmtId="0" fontId="0" fillId="0" borderId="106" xfId="0" applyBorder="1" applyAlignment="1">
      <alignment horizontal="center" vertical="center"/>
    </xf>
    <xf numFmtId="0" fontId="63" fillId="0" borderId="6" xfId="0" applyFont="1" applyBorder="1" applyAlignment="1">
      <alignment horizontal="center" wrapText="1"/>
    </xf>
    <xf numFmtId="0" fontId="63" fillId="0" borderId="5" xfId="0" applyFont="1" applyBorder="1" applyAlignment="1">
      <alignment horizontal="center" wrapText="1"/>
    </xf>
    <xf numFmtId="0" fontId="63" fillId="0" borderId="7" xfId="0" applyFont="1" applyBorder="1" applyAlignment="1">
      <alignment horizontal="center" wrapText="1"/>
    </xf>
    <xf numFmtId="0" fontId="0" fillId="0" borderId="90" xfId="0" applyBorder="1" applyAlignment="1">
      <alignment horizontal="center" vertical="center" wrapText="1"/>
    </xf>
    <xf numFmtId="0" fontId="0" fillId="0" borderId="91" xfId="0" applyBorder="1" applyAlignment="1">
      <alignment horizontal="center" vertical="center" wrapText="1"/>
    </xf>
    <xf numFmtId="0" fontId="0" fillId="0" borderId="92" xfId="0" applyBorder="1" applyAlignment="1">
      <alignment horizontal="center" vertical="center" wrapText="1"/>
    </xf>
    <xf numFmtId="0" fontId="0" fillId="0" borderId="2" xfId="0" applyBorder="1" applyAlignment="1">
      <alignment horizontal="center" vertical="center" wrapText="1"/>
    </xf>
    <xf numFmtId="0" fontId="0" fillId="0" borderId="0" xfId="0" applyAlignment="1">
      <alignment horizontal="center" vertical="center" wrapText="1"/>
    </xf>
    <xf numFmtId="0" fontId="0" fillId="0" borderId="93" xfId="0" applyBorder="1" applyAlignment="1">
      <alignment horizontal="center" vertical="center" wrapText="1"/>
    </xf>
    <xf numFmtId="0" fontId="0" fillId="0" borderId="36" xfId="0" applyBorder="1" applyAlignment="1">
      <alignment horizontal="center" vertical="center" wrapText="1"/>
    </xf>
    <xf numFmtId="0" fontId="0" fillId="0" borderId="89" xfId="0" applyBorder="1" applyAlignment="1">
      <alignment horizontal="center" vertical="center" wrapText="1"/>
    </xf>
    <xf numFmtId="0" fontId="0" fillId="0" borderId="94" xfId="0" applyBorder="1" applyAlignment="1">
      <alignment horizontal="center" vertical="center" wrapText="1"/>
    </xf>
    <xf numFmtId="0" fontId="1" fillId="0" borderId="98" xfId="0" applyFont="1" applyBorder="1" applyAlignment="1">
      <alignment horizontal="center" vertical="center"/>
    </xf>
    <xf numFmtId="0" fontId="1" fillId="0" borderId="99" xfId="0" applyFont="1" applyBorder="1" applyAlignment="1">
      <alignment horizontal="center" vertical="center"/>
    </xf>
    <xf numFmtId="0" fontId="1" fillId="0" borderId="100" xfId="0" applyFont="1"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0" borderId="102" xfId="0" applyBorder="1" applyAlignment="1">
      <alignment horizontal="center" vertical="center"/>
    </xf>
    <xf numFmtId="0" fontId="0" fillId="0" borderId="88" xfId="0" applyBorder="1" applyAlignment="1">
      <alignment horizontal="center" vertical="center"/>
    </xf>
    <xf numFmtId="0" fontId="0" fillId="0" borderId="58" xfId="0" applyBorder="1" applyAlignment="1">
      <alignment horizontal="center" vertical="center"/>
    </xf>
    <xf numFmtId="0" fontId="0" fillId="0" borderId="104" xfId="0" applyBorder="1" applyAlignment="1">
      <alignment horizontal="center" vertical="center"/>
    </xf>
    <xf numFmtId="0" fontId="0" fillId="0" borderId="2" xfId="0" applyBorder="1" applyAlignment="1">
      <alignment horizontal="left" vertical="top" wrapText="1"/>
    </xf>
    <xf numFmtId="0" fontId="0" fillId="0" borderId="0" xfId="0" applyAlignment="1">
      <alignment horizontal="left" vertical="top" wrapText="1"/>
    </xf>
    <xf numFmtId="0" fontId="0" fillId="0" borderId="108" xfId="0" applyBorder="1" applyAlignment="1">
      <alignment horizontal="center" vertical="center"/>
    </xf>
    <xf numFmtId="0" fontId="0" fillId="0" borderId="109" xfId="0" applyBorder="1" applyAlignment="1">
      <alignment horizontal="center" vertical="center"/>
    </xf>
    <xf numFmtId="0" fontId="0" fillId="0" borderId="110" xfId="0" applyBorder="1" applyAlignment="1">
      <alignment horizontal="center" vertical="center"/>
    </xf>
    <xf numFmtId="0" fontId="21" fillId="7" borderId="111" xfId="0" applyFont="1" applyFill="1" applyBorder="1" applyAlignment="1">
      <alignment horizontal="center" vertical="center" wrapText="1"/>
    </xf>
    <xf numFmtId="0" fontId="21" fillId="7" borderId="112" xfId="0" applyFont="1" applyFill="1" applyBorder="1" applyAlignment="1">
      <alignment horizontal="center" vertical="center" wrapText="1"/>
    </xf>
    <xf numFmtId="0" fontId="21" fillId="7" borderId="113" xfId="0" applyFont="1" applyFill="1" applyBorder="1" applyAlignment="1">
      <alignment horizontal="center" vertical="center" wrapText="1"/>
    </xf>
    <xf numFmtId="0" fontId="35" fillId="9" borderId="139" xfId="0" applyFont="1" applyFill="1" applyBorder="1" applyAlignment="1">
      <alignment horizontal="center" vertical="center"/>
    </xf>
    <xf numFmtId="0" fontId="35" fillId="9" borderId="161" xfId="0" applyFont="1" applyFill="1" applyBorder="1" applyAlignment="1">
      <alignment horizontal="center" vertical="center"/>
    </xf>
    <xf numFmtId="0" fontId="35" fillId="9" borderId="44" xfId="0" applyFont="1" applyFill="1" applyBorder="1" applyAlignment="1">
      <alignment horizontal="center" vertical="center"/>
    </xf>
    <xf numFmtId="0" fontId="35" fillId="9" borderId="123" xfId="0" applyFont="1" applyFill="1" applyBorder="1" applyAlignment="1">
      <alignment horizontal="center" vertical="center"/>
    </xf>
    <xf numFmtId="2" fontId="76" fillId="0" borderId="0" xfId="0" applyNumberFormat="1" applyFont="1" applyAlignment="1">
      <alignment horizontal="center" vertical="center"/>
    </xf>
    <xf numFmtId="0" fontId="35" fillId="9" borderId="52" xfId="0" applyFont="1" applyFill="1" applyBorder="1" applyAlignment="1">
      <alignment horizontal="center" vertical="center"/>
    </xf>
    <xf numFmtId="0" fontId="35" fillId="9" borderId="130" xfId="0" applyFont="1" applyFill="1" applyBorder="1" applyAlignment="1">
      <alignment horizontal="center" vertical="center"/>
    </xf>
    <xf numFmtId="0" fontId="35" fillId="9" borderId="103" xfId="0" applyFont="1" applyFill="1" applyBorder="1" applyAlignment="1">
      <alignment horizontal="center" vertical="center"/>
    </xf>
    <xf numFmtId="0" fontId="35" fillId="9" borderId="129" xfId="0" applyFont="1" applyFill="1" applyBorder="1" applyAlignment="1">
      <alignment horizontal="center" vertical="center"/>
    </xf>
    <xf numFmtId="0" fontId="36" fillId="9" borderId="103" xfId="0" applyFont="1" applyFill="1" applyBorder="1" applyAlignment="1">
      <alignment horizontal="center" vertical="center"/>
    </xf>
    <xf numFmtId="0" fontId="36" fillId="9" borderId="44" xfId="0" applyFont="1" applyFill="1" applyBorder="1" applyAlignment="1">
      <alignment horizontal="center" vertical="center"/>
    </xf>
    <xf numFmtId="0" fontId="36" fillId="9" borderId="123" xfId="0" applyFont="1" applyFill="1" applyBorder="1" applyAlignment="1">
      <alignment horizontal="center" vertical="center"/>
    </xf>
    <xf numFmtId="0" fontId="47" fillId="10" borderId="121" xfId="1" applyBorder="1" applyAlignment="1">
      <alignment horizontal="center" vertical="center"/>
    </xf>
    <xf numFmtId="0" fontId="47" fillId="10" borderId="122" xfId="1" applyBorder="1" applyAlignment="1">
      <alignment horizontal="center" vertical="center"/>
    </xf>
    <xf numFmtId="0" fontId="35" fillId="10" borderId="44" xfId="1" applyFont="1" applyBorder="1" applyAlignment="1">
      <alignment horizontal="center" vertical="center"/>
    </xf>
    <xf numFmtId="0" fontId="35" fillId="10" borderId="123" xfId="1" applyFont="1" applyBorder="1" applyAlignment="1">
      <alignment horizontal="center" vertical="center"/>
    </xf>
    <xf numFmtId="0" fontId="35" fillId="10" borderId="88" xfId="1" applyFont="1" applyBorder="1" applyAlignment="1">
      <alignment horizontal="center" vertical="center"/>
    </xf>
    <xf numFmtId="0" fontId="35" fillId="10" borderId="58" xfId="1" applyFont="1" applyBorder="1" applyAlignment="1">
      <alignment horizontal="center" vertical="center"/>
    </xf>
    <xf numFmtId="0" fontId="35" fillId="10" borderId="104" xfId="1" applyFont="1" applyBorder="1" applyAlignment="1">
      <alignment horizontal="center" vertical="center"/>
    </xf>
    <xf numFmtId="0" fontId="79" fillId="7" borderId="32" xfId="0" applyFont="1" applyFill="1" applyBorder="1" applyAlignment="1">
      <alignment horizontal="center" vertical="center" wrapText="1"/>
    </xf>
    <xf numFmtId="0" fontId="79" fillId="7" borderId="0" xfId="0" applyFont="1" applyFill="1" applyAlignment="1">
      <alignment horizontal="center" vertical="center" wrapText="1"/>
    </xf>
    <xf numFmtId="0" fontId="3" fillId="9" borderId="131" xfId="0" applyFont="1" applyFill="1" applyBorder="1" applyAlignment="1">
      <alignment horizontal="center" vertical="center"/>
    </xf>
    <xf numFmtId="0" fontId="3" fillId="9" borderId="132" xfId="0" applyFont="1" applyFill="1" applyBorder="1" applyAlignment="1">
      <alignment horizontal="center" vertical="center"/>
    </xf>
    <xf numFmtId="0" fontId="3" fillId="9" borderId="133" xfId="0" applyFont="1" applyFill="1" applyBorder="1" applyAlignment="1">
      <alignment horizontal="center" vertical="center"/>
    </xf>
    <xf numFmtId="0" fontId="35" fillId="9" borderId="114" xfId="0" applyFont="1" applyFill="1" applyBorder="1" applyAlignment="1">
      <alignment horizontal="center" vertical="center"/>
    </xf>
    <xf numFmtId="0" fontId="35" fillId="9" borderId="125" xfId="0" applyFont="1" applyFill="1" applyBorder="1" applyAlignment="1">
      <alignment horizontal="center" vertical="center"/>
    </xf>
    <xf numFmtId="0" fontId="61" fillId="0" borderId="32" xfId="0" applyFont="1" applyBorder="1" applyAlignment="1">
      <alignment horizontal="left" vertical="center" wrapText="1"/>
    </xf>
    <xf numFmtId="0" fontId="61" fillId="0" borderId="0" xfId="0" applyFont="1" applyAlignment="1">
      <alignment horizontal="left" vertical="center" wrapText="1"/>
    </xf>
    <xf numFmtId="0" fontId="35" fillId="9" borderId="124" xfId="0" applyFont="1" applyFill="1" applyBorder="1" applyAlignment="1">
      <alignment horizontal="center" vertical="center"/>
    </xf>
    <xf numFmtId="0" fontId="61" fillId="0" borderId="32" xfId="0" applyFont="1" applyBorder="1" applyAlignment="1">
      <alignment horizontal="left" vertical="center"/>
    </xf>
    <xf numFmtId="0" fontId="61" fillId="0" borderId="0" xfId="0" applyFont="1" applyAlignment="1">
      <alignment horizontal="left" vertical="center"/>
    </xf>
    <xf numFmtId="0" fontId="35" fillId="9" borderId="131" xfId="0" applyFont="1" applyFill="1" applyBorder="1" applyAlignment="1">
      <alignment horizontal="center" vertical="center"/>
    </xf>
    <xf numFmtId="0" fontId="35" fillId="9" borderId="132" xfId="0" applyFont="1" applyFill="1" applyBorder="1" applyAlignment="1">
      <alignment horizontal="center" vertical="center"/>
    </xf>
    <xf numFmtId="0" fontId="35" fillId="10" borderId="132" xfId="1" applyFont="1" applyBorder="1" applyAlignment="1">
      <alignment horizontal="center" vertical="center"/>
    </xf>
    <xf numFmtId="0" fontId="35" fillId="10" borderId="133" xfId="1" applyFont="1" applyBorder="1" applyAlignment="1">
      <alignment horizontal="center" vertical="center"/>
    </xf>
    <xf numFmtId="0" fontId="47" fillId="10" borderId="143" xfId="1" applyBorder="1" applyAlignment="1">
      <alignment horizontal="center" vertical="center"/>
    </xf>
    <xf numFmtId="0" fontId="47" fillId="10" borderId="144" xfId="1" applyBorder="1" applyAlignment="1">
      <alignment horizontal="center" vertical="center"/>
    </xf>
    <xf numFmtId="0" fontId="47" fillId="10" borderId="44" xfId="1" applyBorder="1" applyAlignment="1">
      <alignment horizontal="center" vertical="center"/>
    </xf>
    <xf numFmtId="0" fontId="47" fillId="10" borderId="123" xfId="1" applyBorder="1" applyAlignment="1">
      <alignment horizontal="center" vertical="center"/>
    </xf>
    <xf numFmtId="0" fontId="35" fillId="9" borderId="49" xfId="0" applyFont="1" applyFill="1" applyBorder="1" applyAlignment="1">
      <alignment horizontal="center" vertical="center"/>
    </xf>
    <xf numFmtId="0" fontId="35" fillId="9" borderId="135" xfId="0" applyFont="1" applyFill="1" applyBorder="1" applyAlignment="1">
      <alignment horizontal="center" vertical="center"/>
    </xf>
    <xf numFmtId="0" fontId="3" fillId="9" borderId="101" xfId="0" applyFont="1" applyFill="1" applyBorder="1" applyAlignment="1">
      <alignment horizontal="center" vertical="center"/>
    </xf>
    <xf numFmtId="0" fontId="3" fillId="9" borderId="45" xfId="0" applyFont="1" applyFill="1" applyBorder="1" applyAlignment="1">
      <alignment horizontal="center" vertical="center"/>
    </xf>
    <xf numFmtId="0" fontId="3" fillId="9" borderId="136" xfId="0" applyFont="1" applyFill="1" applyBorder="1" applyAlignment="1">
      <alignment horizontal="center" vertical="center"/>
    </xf>
    <xf numFmtId="0" fontId="0" fillId="0" borderId="0" xfId="0" applyAlignment="1">
      <alignment horizontal="center" vertical="center"/>
    </xf>
    <xf numFmtId="0" fontId="35" fillId="10" borderId="127" xfId="1" applyFont="1" applyBorder="1" applyAlignment="1">
      <alignment horizontal="center" vertical="center"/>
    </xf>
    <xf numFmtId="0" fontId="35" fillId="10" borderId="128" xfId="1" applyFont="1" applyBorder="1" applyAlignment="1">
      <alignment horizontal="center" vertical="center"/>
    </xf>
    <xf numFmtId="0" fontId="35" fillId="10" borderId="114" xfId="1" applyFont="1" applyBorder="1" applyAlignment="1">
      <alignment horizontal="center" vertical="center"/>
    </xf>
    <xf numFmtId="0" fontId="35" fillId="10" borderId="125" xfId="1" applyFont="1" applyBorder="1" applyAlignment="1">
      <alignment horizontal="center" vertical="center"/>
    </xf>
    <xf numFmtId="0" fontId="35" fillId="0" borderId="126" xfId="0" applyFont="1" applyBorder="1" applyAlignment="1">
      <alignment horizontal="center" vertical="center"/>
    </xf>
    <xf numFmtId="0" fontId="35" fillId="0" borderId="127" xfId="0" applyFont="1" applyBorder="1" applyAlignment="1">
      <alignment horizontal="center" vertical="center"/>
    </xf>
    <xf numFmtId="0" fontId="35" fillId="0" borderId="120" xfId="0" applyFont="1" applyBorder="1" applyAlignment="1">
      <alignment horizontal="center" vertical="center"/>
    </xf>
    <xf numFmtId="0" fontId="35" fillId="0" borderId="121" xfId="0" applyFont="1" applyBorder="1" applyAlignment="1">
      <alignment horizontal="center" vertical="center"/>
    </xf>
    <xf numFmtId="0" fontId="37" fillId="9" borderId="124" xfId="0" applyFont="1" applyFill="1" applyBorder="1" applyAlignment="1">
      <alignment horizontal="center" vertical="center" wrapText="1"/>
    </xf>
    <xf numFmtId="0" fontId="37" fillId="9" borderId="114" xfId="0" applyFont="1" applyFill="1" applyBorder="1" applyAlignment="1">
      <alignment horizontal="center" vertical="center" wrapText="1"/>
    </xf>
    <xf numFmtId="0" fontId="79" fillId="7" borderId="61" xfId="0" applyFont="1" applyFill="1" applyBorder="1" applyAlignment="1">
      <alignment horizontal="center" vertical="center" wrapText="1"/>
    </xf>
    <xf numFmtId="0" fontId="79" fillId="7" borderId="32" xfId="0" applyFont="1" applyFill="1" applyBorder="1" applyAlignment="1">
      <alignment horizontal="left" vertical="center"/>
    </xf>
    <xf numFmtId="0" fontId="79" fillId="7" borderId="0" xfId="0" applyFont="1" applyFill="1" applyAlignment="1">
      <alignment horizontal="left" vertical="center"/>
    </xf>
    <xf numFmtId="0" fontId="85" fillId="0" borderId="0" xfId="0" applyFont="1" applyAlignment="1">
      <alignment horizontal="center"/>
    </xf>
    <xf numFmtId="0" fontId="40" fillId="0" borderId="119" xfId="0" applyFont="1" applyBorder="1" applyAlignment="1">
      <alignment horizontal="right" vertical="center"/>
    </xf>
    <xf numFmtId="0" fontId="35" fillId="0" borderId="81" xfId="0" applyFont="1" applyBorder="1" applyAlignment="1">
      <alignment horizontal="right" vertical="center"/>
    </xf>
    <xf numFmtId="0" fontId="35" fillId="0" borderId="84" xfId="0" applyFont="1" applyBorder="1" applyAlignment="1">
      <alignment horizontal="right" vertical="center"/>
    </xf>
    <xf numFmtId="0" fontId="61" fillId="9" borderId="118" xfId="1" applyFont="1" applyFill="1" applyBorder="1" applyAlignment="1">
      <alignment horizontal="center" vertical="center" wrapText="1"/>
    </xf>
    <xf numFmtId="0" fontId="61" fillId="9" borderId="80" xfId="1" applyFont="1" applyFill="1" applyBorder="1" applyAlignment="1">
      <alignment horizontal="center" vertical="center" wrapText="1"/>
    </xf>
    <xf numFmtId="0" fontId="61" fillId="9" borderId="82" xfId="1" applyFont="1" applyFill="1" applyBorder="1" applyAlignment="1">
      <alignment horizontal="center" vertical="center" wrapText="1"/>
    </xf>
    <xf numFmtId="0" fontId="61" fillId="9" borderId="32" xfId="1" applyFont="1" applyFill="1" applyBorder="1" applyAlignment="1">
      <alignment horizontal="center" vertical="center" wrapText="1"/>
    </xf>
    <xf numFmtId="0" fontId="61" fillId="9" borderId="0" xfId="1" applyFont="1" applyFill="1" applyBorder="1" applyAlignment="1">
      <alignment horizontal="center" vertical="center" wrapText="1"/>
    </xf>
    <xf numFmtId="0" fontId="61" fillId="9" borderId="83" xfId="1" applyFont="1" applyFill="1" applyBorder="1" applyAlignment="1">
      <alignment horizontal="center" vertical="center" wrapText="1"/>
    </xf>
    <xf numFmtId="0" fontId="61" fillId="9" borderId="119" xfId="1" applyFont="1" applyFill="1" applyBorder="1" applyAlignment="1">
      <alignment horizontal="center" vertical="center" wrapText="1"/>
    </xf>
    <xf numFmtId="0" fontId="61" fillId="9" borderId="81" xfId="1" applyFont="1" applyFill="1" applyBorder="1" applyAlignment="1">
      <alignment horizontal="center" vertical="center" wrapText="1"/>
    </xf>
    <xf numFmtId="0" fontId="61" fillId="9" borderId="84" xfId="1" applyFont="1" applyFill="1" applyBorder="1" applyAlignment="1">
      <alignment horizontal="center" vertical="center" wrapText="1"/>
    </xf>
    <xf numFmtId="0" fontId="35" fillId="9" borderId="134" xfId="0" applyFont="1" applyFill="1" applyBorder="1" applyAlignment="1">
      <alignment horizontal="center" vertical="center"/>
    </xf>
    <xf numFmtId="2" fontId="47" fillId="13" borderId="114" xfId="3" applyNumberFormat="1" applyBorder="1" applyAlignment="1">
      <alignment horizontal="center" vertical="center"/>
    </xf>
    <xf numFmtId="2" fontId="47" fillId="13" borderId="125" xfId="3" applyNumberFormat="1" applyBorder="1" applyAlignment="1">
      <alignment horizontal="center" vertical="center"/>
    </xf>
    <xf numFmtId="0" fontId="47" fillId="10" borderId="85" xfId="1" applyBorder="1" applyAlignment="1">
      <alignment horizontal="left" vertical="center"/>
    </xf>
    <xf numFmtId="0" fontId="47" fillId="10" borderId="81" xfId="1" applyBorder="1" applyAlignment="1">
      <alignment horizontal="left" vertical="center"/>
    </xf>
    <xf numFmtId="0" fontId="47" fillId="10" borderId="141" xfId="1" applyBorder="1" applyAlignment="1">
      <alignment horizontal="left" vertical="center"/>
    </xf>
    <xf numFmtId="0" fontId="37" fillId="9" borderId="142" xfId="0" applyFont="1" applyFill="1" applyBorder="1" applyAlignment="1">
      <alignment horizontal="center" vertical="center" wrapText="1"/>
    </xf>
    <xf numFmtId="0" fontId="37" fillId="9" borderId="143" xfId="0" applyFont="1" applyFill="1" applyBorder="1" applyAlignment="1">
      <alignment horizontal="center" vertical="center" wrapText="1"/>
    </xf>
    <xf numFmtId="0" fontId="35" fillId="9" borderId="103" xfId="0" applyFont="1" applyFill="1" applyBorder="1" applyAlignment="1">
      <alignment horizontal="center" vertical="center" wrapText="1"/>
    </xf>
    <xf numFmtId="0" fontId="35" fillId="9" borderId="44" xfId="0" applyFont="1" applyFill="1" applyBorder="1" applyAlignment="1">
      <alignment horizontal="center" vertical="center" wrapText="1"/>
    </xf>
    <xf numFmtId="0" fontId="36" fillId="9" borderId="140" xfId="1" applyFont="1" applyFill="1" applyBorder="1" applyAlignment="1">
      <alignment horizontal="center" vertical="center"/>
    </xf>
    <xf numFmtId="0" fontId="36" fillId="9" borderId="116" xfId="1" applyFont="1" applyFill="1" applyBorder="1" applyAlignment="1">
      <alignment horizontal="center" vertical="center"/>
    </xf>
    <xf numFmtId="0" fontId="35" fillId="0" borderId="139" xfId="0" applyFont="1" applyBorder="1" applyAlignment="1">
      <alignment horizontal="center" vertical="center"/>
    </xf>
    <xf numFmtId="0" fontId="35" fillId="0" borderId="58" xfId="0" applyFont="1" applyBorder="1" applyAlignment="1">
      <alignment horizontal="center" vertical="center"/>
    </xf>
    <xf numFmtId="0" fontId="78" fillId="16" borderId="25" xfId="0" applyFont="1" applyFill="1" applyBorder="1" applyAlignment="1">
      <alignment horizontal="left" vertical="center"/>
    </xf>
    <xf numFmtId="0" fontId="51" fillId="0" borderId="44" xfId="1" applyFont="1" applyFill="1" applyBorder="1" applyAlignment="1">
      <alignment horizontal="center" vertical="center" wrapText="1"/>
    </xf>
    <xf numFmtId="0" fontId="51" fillId="0" borderId="44" xfId="1" applyFont="1" applyFill="1" applyBorder="1" applyAlignment="1">
      <alignment horizontal="center" vertical="center"/>
    </xf>
    <xf numFmtId="0" fontId="51" fillId="9" borderId="44" xfId="1" applyFont="1" applyFill="1" applyBorder="1" applyAlignment="1">
      <alignment horizontal="center" vertical="center" wrapText="1"/>
    </xf>
    <xf numFmtId="0" fontId="51" fillId="9" borderId="44" xfId="1" applyFont="1" applyFill="1" applyBorder="1" applyAlignment="1">
      <alignment horizontal="center" vertical="center"/>
    </xf>
    <xf numFmtId="0" fontId="36" fillId="0" borderId="44" xfId="0" applyFont="1" applyBorder="1" applyAlignment="1">
      <alignment horizontal="center" vertical="center"/>
    </xf>
    <xf numFmtId="0" fontId="47" fillId="13" borderId="47" xfId="3" applyBorder="1" applyAlignment="1">
      <alignment horizontal="center" vertical="center"/>
    </xf>
    <xf numFmtId="0" fontId="47" fillId="13" borderId="50" xfId="3" applyBorder="1" applyAlignment="1">
      <alignment horizontal="center" vertical="center"/>
    </xf>
    <xf numFmtId="0" fontId="35" fillId="0" borderId="51" xfId="0" applyFont="1" applyBorder="1" applyAlignment="1">
      <alignment horizontal="center" vertical="center" wrapText="1"/>
    </xf>
    <xf numFmtId="0" fontId="35" fillId="0" borderId="52" xfId="0" applyFont="1" applyBorder="1" applyAlignment="1">
      <alignment horizontal="center" vertical="center" wrapText="1"/>
    </xf>
    <xf numFmtId="0" fontId="35" fillId="13" borderId="52" xfId="3" applyFont="1" applyBorder="1" applyAlignment="1">
      <alignment horizontal="center" vertical="center"/>
    </xf>
    <xf numFmtId="0" fontId="35" fillId="13" borderId="53" xfId="3" applyFont="1" applyBorder="1" applyAlignment="1">
      <alignment horizontal="center" vertical="center"/>
    </xf>
    <xf numFmtId="0" fontId="35" fillId="0" borderId="46" xfId="0" applyFont="1" applyBorder="1" applyAlignment="1">
      <alignment horizontal="center" vertical="center" wrapText="1"/>
    </xf>
    <xf numFmtId="0" fontId="35" fillId="0" borderId="44" xfId="0" applyFont="1" applyBorder="1" applyAlignment="1">
      <alignment horizontal="center" vertical="center" wrapText="1"/>
    </xf>
    <xf numFmtId="0" fontId="35" fillId="10" borderId="47" xfId="1" applyFont="1" applyBorder="1" applyAlignment="1">
      <alignment horizontal="center" vertical="center"/>
    </xf>
    <xf numFmtId="0" fontId="36" fillId="0" borderId="49" xfId="0" applyFont="1" applyBorder="1" applyAlignment="1">
      <alignment horizontal="center" vertical="center"/>
    </xf>
    <xf numFmtId="0" fontId="36" fillId="0" borderId="48" xfId="0" applyFont="1" applyBorder="1" applyAlignment="1">
      <alignment horizontal="center" vertical="center"/>
    </xf>
    <xf numFmtId="0" fontId="36" fillId="0" borderId="46" xfId="0" applyFont="1" applyBorder="1" applyAlignment="1">
      <alignment horizontal="center" vertical="center"/>
    </xf>
    <xf numFmtId="0" fontId="35" fillId="0" borderId="124" xfId="0" applyFont="1" applyBorder="1" applyAlignment="1">
      <alignment horizontal="center" vertical="center"/>
    </xf>
    <xf numFmtId="0" fontId="35" fillId="0" borderId="114" xfId="0" applyFont="1" applyBorder="1" applyAlignment="1">
      <alignment horizontal="center" vertical="center"/>
    </xf>
    <xf numFmtId="0" fontId="36" fillId="0" borderId="151" xfId="0" applyFont="1" applyBorder="1" applyAlignment="1">
      <alignment horizontal="center" vertical="center"/>
    </xf>
    <xf numFmtId="0" fontId="36" fillId="0" borderId="57" xfId="0" applyFont="1" applyBorder="1" applyAlignment="1">
      <alignment horizontal="center" vertical="center"/>
    </xf>
    <xf numFmtId="0" fontId="40" fillId="0" borderId="103" xfId="0" applyFont="1" applyBorder="1" applyAlignment="1">
      <alignment horizontal="center" vertical="center"/>
    </xf>
    <xf numFmtId="0" fontId="40" fillId="0" borderId="44" xfId="0" applyFont="1" applyBorder="1" applyAlignment="1">
      <alignment horizontal="center" vertical="center"/>
    </xf>
    <xf numFmtId="0" fontId="35" fillId="0" borderId="103" xfId="0" applyFont="1" applyBorder="1" applyAlignment="1">
      <alignment horizontal="center" vertical="center"/>
    </xf>
    <xf numFmtId="0" fontId="35" fillId="0" borderId="44" xfId="0" applyFont="1" applyBorder="1" applyAlignment="1">
      <alignment horizontal="center" vertical="center"/>
    </xf>
    <xf numFmtId="0" fontId="48" fillId="12" borderId="146" xfId="4" applyBorder="1" applyAlignment="1">
      <alignment horizontal="center" vertical="center" wrapText="1"/>
    </xf>
    <xf numFmtId="0" fontId="48" fillId="12" borderId="147" xfId="4" applyBorder="1" applyAlignment="1">
      <alignment horizontal="center" vertical="center" wrapText="1"/>
    </xf>
    <xf numFmtId="0" fontId="63" fillId="0" borderId="16" xfId="0" applyFont="1" applyBorder="1" applyAlignment="1">
      <alignment horizontal="center"/>
    </xf>
    <xf numFmtId="0" fontId="63" fillId="0" borderId="17" xfId="0" applyFont="1" applyBorder="1" applyAlignment="1">
      <alignment horizontal="center"/>
    </xf>
    <xf numFmtId="0" fontId="63" fillId="0" borderId="18" xfId="0" applyFont="1" applyBorder="1" applyAlignment="1">
      <alignment horizontal="center"/>
    </xf>
    <xf numFmtId="0" fontId="36" fillId="0" borderId="1" xfId="0" applyFont="1" applyBorder="1" applyAlignment="1">
      <alignment horizontal="center" vertical="center"/>
    </xf>
    <xf numFmtId="0" fontId="36" fillId="0" borderId="9" xfId="0" applyFont="1" applyBorder="1" applyAlignment="1">
      <alignment horizontal="center" vertical="center"/>
    </xf>
    <xf numFmtId="0" fontId="36" fillId="0" borderId="11" xfId="0" applyFont="1" applyBorder="1" applyAlignment="1">
      <alignment horizontal="center" vertical="center"/>
    </xf>
    <xf numFmtId="0" fontId="36" fillId="0" borderId="14" xfId="0" applyFont="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36" fillId="0" borderId="10" xfId="0" applyFont="1" applyBorder="1" applyAlignment="1">
      <alignment horizontal="center" vertical="center"/>
    </xf>
    <xf numFmtId="0" fontId="35" fillId="0" borderId="8" xfId="0" applyFont="1" applyBorder="1" applyAlignment="1">
      <alignment horizontal="center" vertical="center"/>
    </xf>
    <xf numFmtId="0" fontId="35" fillId="0" borderId="1" xfId="0" applyFont="1" applyBorder="1" applyAlignment="1">
      <alignment horizontal="center" vertical="center"/>
    </xf>
    <xf numFmtId="0" fontId="47" fillId="13" borderId="1" xfId="3" applyBorder="1" applyAlignment="1">
      <alignment horizontal="center" vertical="center"/>
    </xf>
    <xf numFmtId="0" fontId="47" fillId="13" borderId="9" xfId="3" applyBorder="1" applyAlignment="1">
      <alignment horizontal="center" vertical="center"/>
    </xf>
    <xf numFmtId="0" fontId="36" fillId="0" borderId="8" xfId="0" applyFont="1" applyBorder="1" applyAlignment="1">
      <alignment horizontal="center" vertical="center"/>
    </xf>
    <xf numFmtId="0" fontId="35" fillId="0" borderId="123" xfId="0" applyFont="1" applyBorder="1" applyAlignment="1">
      <alignment horizontal="center" vertical="center"/>
    </xf>
    <xf numFmtId="0" fontId="36" fillId="9" borderId="131" xfId="0" applyFont="1" applyFill="1" applyBorder="1" applyAlignment="1">
      <alignment horizontal="center" vertical="center"/>
    </xf>
    <xf numFmtId="0" fontId="36" fillId="9" borderId="132" xfId="0" applyFont="1" applyFill="1" applyBorder="1" applyAlignment="1">
      <alignment horizontal="center" vertical="center"/>
    </xf>
    <xf numFmtId="0" fontId="36" fillId="9" borderId="133" xfId="0" applyFont="1" applyFill="1" applyBorder="1" applyAlignment="1">
      <alignment horizontal="center" vertical="center"/>
    </xf>
    <xf numFmtId="0" fontId="33" fillId="9" borderId="0" xfId="0" applyFont="1" applyFill="1" applyAlignment="1">
      <alignment horizontal="center" vertical="center" wrapText="1"/>
    </xf>
    <xf numFmtId="0" fontId="33" fillId="9" borderId="0" xfId="0" applyFont="1" applyFill="1" applyAlignment="1">
      <alignment horizontal="right" vertical="center" wrapText="1"/>
    </xf>
    <xf numFmtId="0" fontId="35" fillId="0" borderId="4" xfId="0" applyFont="1" applyBorder="1" applyAlignment="1">
      <alignment horizontal="center" vertical="center"/>
    </xf>
    <xf numFmtId="0" fontId="35" fillId="0" borderId="15" xfId="0" applyFont="1" applyBorder="1" applyAlignment="1">
      <alignment horizontal="center" vertical="center"/>
    </xf>
    <xf numFmtId="0" fontId="61" fillId="0" borderId="87" xfId="0" applyFont="1" applyBorder="1" applyAlignment="1">
      <alignment horizontal="center" vertical="center"/>
    </xf>
    <xf numFmtId="0" fontId="61" fillId="0" borderId="4" xfId="0" applyFont="1" applyBorder="1" applyAlignment="1">
      <alignment horizontal="center" vertical="center"/>
    </xf>
    <xf numFmtId="0" fontId="36" fillId="0" borderId="56" xfId="0" applyFont="1" applyBorder="1" applyAlignment="1">
      <alignment horizontal="center" vertical="center"/>
    </xf>
    <xf numFmtId="0" fontId="36" fillId="0" borderId="137" xfId="0" applyFont="1" applyBorder="1" applyAlignment="1">
      <alignment horizontal="center" vertical="center"/>
    </xf>
    <xf numFmtId="0" fontId="36" fillId="9" borderId="138" xfId="0" applyFont="1" applyFill="1" applyBorder="1" applyAlignment="1">
      <alignment horizontal="center" vertical="center"/>
    </xf>
    <xf numFmtId="0" fontId="36" fillId="9" borderId="55" xfId="0" applyFont="1" applyFill="1" applyBorder="1" applyAlignment="1">
      <alignment horizontal="center" vertical="center"/>
    </xf>
    <xf numFmtId="0" fontId="35" fillId="0" borderId="44" xfId="0" applyFont="1" applyBorder="1" applyAlignment="1">
      <alignment horizontal="center"/>
    </xf>
    <xf numFmtId="0" fontId="35" fillId="0" borderId="123" xfId="0" applyFont="1" applyBorder="1" applyAlignment="1">
      <alignment horizontal="center"/>
    </xf>
    <xf numFmtId="0" fontId="36" fillId="9" borderId="153" xfId="1" applyFont="1" applyFill="1" applyBorder="1" applyAlignment="1">
      <alignment horizontal="center" vertical="center"/>
    </xf>
    <xf numFmtId="0" fontId="36" fillId="0" borderId="54" xfId="0" applyFont="1" applyBorder="1" applyAlignment="1">
      <alignment horizontal="center" vertical="center"/>
    </xf>
    <xf numFmtId="0" fontId="36" fillId="0" borderId="135" xfId="0" applyFont="1" applyBorder="1" applyAlignment="1">
      <alignment horizontal="center" vertical="center"/>
    </xf>
    <xf numFmtId="0" fontId="35" fillId="0" borderId="119" xfId="0" applyFont="1" applyBorder="1" applyAlignment="1">
      <alignment horizontal="right" vertical="center" wrapText="1"/>
    </xf>
    <xf numFmtId="0" fontId="35" fillId="0" borderId="81" xfId="0" applyFont="1" applyBorder="1" applyAlignment="1">
      <alignment horizontal="right" vertical="center" wrapText="1"/>
    </xf>
    <xf numFmtId="0" fontId="35" fillId="0" borderId="84" xfId="0" applyFont="1" applyBorder="1" applyAlignment="1">
      <alignment horizontal="right" vertical="center" wrapText="1"/>
    </xf>
    <xf numFmtId="0" fontId="36" fillId="0" borderId="129" xfId="0" applyFont="1" applyBorder="1" applyAlignment="1">
      <alignment horizontal="center" vertical="center"/>
    </xf>
    <xf numFmtId="0" fontId="36" fillId="0" borderId="52" xfId="0" applyFont="1" applyBorder="1" applyAlignment="1">
      <alignment horizontal="center" vertical="center"/>
    </xf>
    <xf numFmtId="0" fontId="35" fillId="10" borderId="52" xfId="1" applyFont="1" applyBorder="1" applyAlignment="1">
      <alignment horizontal="center" vertical="center"/>
    </xf>
    <xf numFmtId="0" fontId="35" fillId="10" borderId="130" xfId="1" applyFont="1" applyBorder="1" applyAlignment="1">
      <alignment horizontal="center" vertical="center"/>
    </xf>
    <xf numFmtId="0" fontId="36" fillId="9" borderId="114" xfId="1" applyFont="1" applyFill="1" applyBorder="1" applyAlignment="1">
      <alignment horizontal="center" vertical="center"/>
    </xf>
    <xf numFmtId="0" fontId="36" fillId="9" borderId="125" xfId="1" applyFont="1" applyFill="1" applyBorder="1" applyAlignment="1">
      <alignment horizontal="center" vertical="center"/>
    </xf>
    <xf numFmtId="2" fontId="47" fillId="13" borderId="44" xfId="3" applyNumberFormat="1" applyBorder="1" applyAlignment="1">
      <alignment horizontal="center" vertical="center"/>
    </xf>
    <xf numFmtId="0" fontId="61" fillId="0" borderId="8" xfId="0" applyFont="1" applyBorder="1" applyAlignment="1">
      <alignment horizontal="center" vertical="center"/>
    </xf>
    <xf numFmtId="0" fontId="61" fillId="0" borderId="1" xfId="0" applyFont="1" applyBorder="1" applyAlignment="1">
      <alignment horizontal="center" vertical="center"/>
    </xf>
    <xf numFmtId="0" fontId="35" fillId="0" borderId="9" xfId="0" applyFont="1" applyBorder="1" applyAlignment="1">
      <alignment horizontal="center" vertical="center"/>
    </xf>
    <xf numFmtId="0" fontId="79" fillId="7" borderId="34" xfId="0" applyFont="1" applyFill="1" applyBorder="1" applyAlignment="1">
      <alignment horizontal="left" vertical="center"/>
    </xf>
    <xf numFmtId="0" fontId="35" fillId="0" borderId="52" xfId="0" applyFont="1" applyBorder="1" applyAlignment="1">
      <alignment horizontal="center" vertical="center"/>
    </xf>
    <xf numFmtId="0" fontId="35" fillId="0" borderId="130" xfId="0" applyFont="1" applyBorder="1" applyAlignment="1">
      <alignment horizontal="center" vertical="center"/>
    </xf>
    <xf numFmtId="0" fontId="35" fillId="0" borderId="115" xfId="0" applyFont="1" applyBorder="1" applyAlignment="1">
      <alignment horizontal="center" vertical="center"/>
    </xf>
    <xf numFmtId="0" fontId="35" fillId="0" borderId="116" xfId="0" applyFont="1" applyBorder="1" applyAlignment="1">
      <alignment horizontal="center" vertical="center"/>
    </xf>
    <xf numFmtId="0" fontId="35" fillId="0" borderId="152" xfId="0" applyFont="1" applyBorder="1" applyAlignment="1">
      <alignment horizontal="center" vertical="center"/>
    </xf>
    <xf numFmtId="0" fontId="2" fillId="0" borderId="1" xfId="0" applyFont="1" applyBorder="1" applyAlignment="1">
      <alignment horizontal="center" vertical="center" wrapText="1"/>
    </xf>
    <xf numFmtId="0" fontId="3" fillId="0" borderId="1" xfId="0" applyFont="1" applyBorder="1" applyAlignment="1">
      <alignment horizontal="center"/>
    </xf>
    <xf numFmtId="0" fontId="0" fillId="0" borderId="8"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35" xfId="0" applyBorder="1" applyAlignment="1">
      <alignment horizontal="center"/>
    </xf>
    <xf numFmtId="0" fontId="0" fillId="0" borderId="4" xfId="0" applyBorder="1" applyAlignment="1">
      <alignment horizontal="center"/>
    </xf>
    <xf numFmtId="0" fontId="49" fillId="13" borderId="154" xfId="3" applyFont="1" applyBorder="1" applyAlignment="1">
      <alignment horizontal="left" vertical="center"/>
    </xf>
    <xf numFmtId="0" fontId="1" fillId="3" borderId="20" xfId="0" applyFont="1" applyFill="1" applyBorder="1" applyAlignment="1">
      <alignment horizontal="center" vertical="center"/>
    </xf>
    <xf numFmtId="0" fontId="1" fillId="3" borderId="30" xfId="0" applyFont="1" applyFill="1" applyBorder="1" applyAlignment="1">
      <alignment horizontal="center" vertical="center"/>
    </xf>
    <xf numFmtId="0" fontId="1" fillId="3" borderId="31" xfId="0" applyFont="1" applyFill="1" applyBorder="1" applyAlignment="1">
      <alignment horizontal="center" vertical="center"/>
    </xf>
    <xf numFmtId="0" fontId="1" fillId="3" borderId="138" xfId="0" applyFont="1" applyFill="1" applyBorder="1" applyAlignment="1">
      <alignment horizontal="center"/>
    </xf>
    <xf numFmtId="0" fontId="1" fillId="3" borderId="55" xfId="0" applyFont="1" applyFill="1" applyBorder="1" applyAlignment="1">
      <alignment horizontal="center"/>
    </xf>
    <xf numFmtId="0" fontId="1" fillId="3" borderId="102" xfId="0" applyFont="1" applyFill="1" applyBorder="1" applyAlignment="1">
      <alignment horizontal="center"/>
    </xf>
    <xf numFmtId="0" fontId="83" fillId="0" borderId="16" xfId="0" applyFont="1" applyBorder="1" applyAlignment="1">
      <alignment horizontal="center"/>
    </xf>
    <xf numFmtId="0" fontId="83" fillId="0" borderId="17" xfId="0" applyFont="1" applyBorder="1" applyAlignment="1">
      <alignment horizontal="center"/>
    </xf>
    <xf numFmtId="0" fontId="83" fillId="0" borderId="18" xfId="0" applyFont="1" applyBorder="1" applyAlignment="1">
      <alignment horizontal="center"/>
    </xf>
    <xf numFmtId="0" fontId="2" fillId="0" borderId="154" xfId="0" applyFont="1" applyBorder="1" applyAlignment="1">
      <alignment horizontal="center"/>
    </xf>
    <xf numFmtId="0" fontId="2" fillId="0" borderId="154" xfId="0" applyFont="1" applyBorder="1" applyAlignment="1">
      <alignment horizontal="center" vertic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 fillId="4" borderId="20" xfId="0" applyFont="1" applyFill="1" applyBorder="1" applyAlignment="1">
      <alignment horizontal="center"/>
    </xf>
    <xf numFmtId="0" fontId="1" fillId="4" borderId="30" xfId="0" applyFont="1" applyFill="1" applyBorder="1" applyAlignment="1">
      <alignment horizontal="center"/>
    </xf>
    <xf numFmtId="0" fontId="1" fillId="4" borderId="31" xfId="0" applyFont="1" applyFill="1" applyBorder="1" applyAlignment="1">
      <alignment horizontal="center"/>
    </xf>
    <xf numFmtId="0" fontId="0" fillId="5" borderId="20" xfId="0" applyFill="1" applyBorder="1" applyAlignment="1">
      <alignment horizontal="center"/>
    </xf>
    <xf numFmtId="0" fontId="0" fillId="5" borderId="30" xfId="0" applyFill="1" applyBorder="1" applyAlignment="1">
      <alignment horizontal="center"/>
    </xf>
    <xf numFmtId="0" fontId="0" fillId="5" borderId="31" xfId="0" applyFill="1" applyBorder="1" applyAlignment="1">
      <alignment horizontal="center"/>
    </xf>
    <xf numFmtId="0" fontId="2" fillId="0" borderId="160" xfId="0" applyFont="1" applyBorder="1" applyAlignment="1">
      <alignment horizontal="center" vertical="center"/>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5" borderId="156" xfId="0" applyFill="1" applyBorder="1" applyAlignment="1">
      <alignment horizontal="center"/>
    </xf>
    <xf numFmtId="0" fontId="0" fillId="5" borderId="39" xfId="0" applyFill="1" applyBorder="1" applyAlignment="1">
      <alignment horizontal="center"/>
    </xf>
    <xf numFmtId="0" fontId="0" fillId="5" borderId="157" xfId="0" applyFill="1" applyBorder="1" applyAlignment="1">
      <alignment horizontal="center"/>
    </xf>
    <xf numFmtId="0" fontId="84" fillId="0" borderId="0" xfId="0" applyFont="1" applyAlignment="1">
      <alignment horizontal="center" vertical="center"/>
    </xf>
    <xf numFmtId="0" fontId="3" fillId="0" borderId="60" xfId="0" applyFont="1" applyBorder="1" applyAlignment="1">
      <alignment horizontal="center" vertical="center"/>
    </xf>
    <xf numFmtId="0" fontId="3" fillId="0" borderId="5" xfId="0" applyFont="1" applyBorder="1" applyAlignment="1">
      <alignment horizontal="center" vertical="center"/>
    </xf>
    <xf numFmtId="0" fontId="3" fillId="0" borderId="7" xfId="0" applyFont="1" applyBorder="1" applyAlignment="1">
      <alignment horizontal="center" vertical="center"/>
    </xf>
    <xf numFmtId="0" fontId="0" fillId="0" borderId="40" xfId="0" applyBorder="1" applyAlignment="1">
      <alignment horizontal="center" vertical="center" wrapText="1"/>
    </xf>
    <xf numFmtId="0" fontId="0" fillId="0" borderId="41" xfId="0" applyBorder="1" applyAlignment="1">
      <alignment horizontal="center" vertical="center"/>
    </xf>
    <xf numFmtId="0" fontId="0" fillId="0" borderId="63" xfId="0" applyBorder="1" applyAlignment="1">
      <alignment horizontal="center" vertical="center"/>
    </xf>
    <xf numFmtId="0" fontId="0" fillId="0" borderId="67"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8" fillId="8" borderId="64" xfId="0" applyFont="1" applyFill="1" applyBorder="1" applyAlignment="1">
      <alignment horizontal="center"/>
    </xf>
    <xf numFmtId="0" fontId="8" fillId="8" borderId="65" xfId="0" applyFont="1" applyFill="1" applyBorder="1" applyAlignment="1">
      <alignment horizontal="center"/>
    </xf>
    <xf numFmtId="0" fontId="8" fillId="8" borderId="66" xfId="0" applyFont="1" applyFill="1" applyBorder="1" applyAlignment="1">
      <alignment horizontal="center"/>
    </xf>
    <xf numFmtId="0" fontId="1" fillId="0" borderId="60" xfId="0" applyFont="1" applyBorder="1" applyAlignment="1">
      <alignment horizontal="center"/>
    </xf>
    <xf numFmtId="0" fontId="1" fillId="0" borderId="5" xfId="0" applyFont="1" applyBorder="1" applyAlignment="1">
      <alignment horizontal="center"/>
    </xf>
    <xf numFmtId="0" fontId="1" fillId="0" borderId="7" xfId="0" applyFont="1" applyBorder="1" applyAlignment="1">
      <alignment horizontal="center"/>
    </xf>
    <xf numFmtId="0" fontId="1" fillId="0" borderId="1" xfId="0" applyFont="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9" fillId="0" borderId="1" xfId="0" applyFont="1" applyBorder="1" applyAlignment="1">
      <alignment horizontal="center"/>
    </xf>
    <xf numFmtId="0" fontId="9" fillId="0" borderId="71" xfId="0" applyFont="1" applyBorder="1" applyAlignment="1">
      <alignment horizontal="center"/>
    </xf>
    <xf numFmtId="0" fontId="27" fillId="0" borderId="1" xfId="0" applyFont="1" applyBorder="1" applyAlignment="1">
      <alignment horizontal="center" vertical="center"/>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9" fillId="0" borderId="73" xfId="0" applyFont="1" applyBorder="1" applyAlignment="1">
      <alignment horizontal="center" vertical="center"/>
    </xf>
    <xf numFmtId="0" fontId="9" fillId="0" borderId="6" xfId="0" applyFont="1" applyBorder="1" applyAlignment="1">
      <alignment horizontal="center"/>
    </xf>
    <xf numFmtId="0" fontId="9" fillId="0" borderId="5" xfId="0" applyFont="1" applyBorder="1" applyAlignment="1">
      <alignment horizontal="center"/>
    </xf>
    <xf numFmtId="0" fontId="9" fillId="0" borderId="73" xfId="0" applyFont="1" applyBorder="1" applyAlignment="1">
      <alignment horizontal="center"/>
    </xf>
    <xf numFmtId="166" fontId="47" fillId="13" borderId="1" xfId="3" applyNumberFormat="1" applyBorder="1" applyAlignment="1">
      <alignment horizontal="center" vertical="center"/>
    </xf>
    <xf numFmtId="0" fontId="49" fillId="13" borderId="2" xfId="3" applyFont="1" applyBorder="1" applyAlignment="1">
      <alignment horizontal="center"/>
    </xf>
    <xf numFmtId="0" fontId="49" fillId="13" borderId="0" xfId="3" applyFont="1" applyAlignment="1">
      <alignment horizontal="center"/>
    </xf>
    <xf numFmtId="0" fontId="49" fillId="13" borderId="2" xfId="3" applyFont="1" applyBorder="1" applyAlignment="1">
      <alignment horizontal="center" vertical="center" wrapText="1"/>
    </xf>
    <xf numFmtId="0" fontId="49" fillId="13" borderId="0" xfId="3" applyFont="1" applyAlignment="1">
      <alignment horizontal="center" vertical="center"/>
    </xf>
    <xf numFmtId="0" fontId="49" fillId="13" borderId="2" xfId="3" applyFont="1" applyBorder="1" applyAlignment="1">
      <alignment horizontal="center" vertical="center"/>
    </xf>
    <xf numFmtId="0" fontId="2" fillId="0" borderId="28" xfId="0" applyFont="1" applyBorder="1" applyAlignment="1">
      <alignment horizontal="center" vertical="center"/>
    </xf>
    <xf numFmtId="0" fontId="2" fillId="0" borderId="1" xfId="0" applyFont="1" applyBorder="1" applyAlignment="1">
      <alignment horizontal="center" vertical="center"/>
    </xf>
    <xf numFmtId="0" fontId="8" fillId="8" borderId="13" xfId="0" applyFont="1" applyFill="1" applyBorder="1" applyAlignment="1">
      <alignment horizontal="center"/>
    </xf>
    <xf numFmtId="0" fontId="8" fillId="8" borderId="19" xfId="0" applyFont="1" applyFill="1" applyBorder="1" applyAlignment="1">
      <alignment horizontal="center"/>
    </xf>
    <xf numFmtId="0" fontId="8" fillId="8" borderId="12" xfId="0" applyFont="1" applyFill="1" applyBorder="1" applyAlignment="1">
      <alignment horizontal="center"/>
    </xf>
    <xf numFmtId="0" fontId="8" fillId="8" borderId="16" xfId="0" applyFont="1" applyFill="1" applyBorder="1" applyAlignment="1">
      <alignment horizontal="center"/>
    </xf>
    <xf numFmtId="0" fontId="8" fillId="8" borderId="17" xfId="0" applyFont="1" applyFill="1" applyBorder="1" applyAlignment="1">
      <alignment horizontal="center"/>
    </xf>
    <xf numFmtId="0" fontId="8" fillId="8" borderId="18" xfId="0" applyFont="1" applyFill="1" applyBorder="1" applyAlignment="1">
      <alignment horizontal="center"/>
    </xf>
    <xf numFmtId="0" fontId="47" fillId="13" borderId="6" xfId="3" applyBorder="1" applyAlignment="1">
      <alignment horizontal="center" vertical="center"/>
    </xf>
    <xf numFmtId="0" fontId="49" fillId="13" borderId="0" xfId="3" applyFont="1" applyBorder="1" applyAlignment="1">
      <alignment horizontal="center" vertical="center" wrapText="1"/>
    </xf>
    <xf numFmtId="0" fontId="49" fillId="13" borderId="22" xfId="3" applyFont="1" applyBorder="1" applyAlignment="1">
      <alignment horizontal="left"/>
    </xf>
    <xf numFmtId="0" fontId="49" fillId="13" borderId="0" xfId="3" applyFont="1" applyBorder="1" applyAlignment="1">
      <alignment horizontal="center"/>
    </xf>
    <xf numFmtId="0" fontId="6" fillId="0" borderId="1" xfId="0" applyFont="1" applyBorder="1" applyAlignment="1">
      <alignment horizontal="center"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0" fontId="2" fillId="0" borderId="1" xfId="0" applyFont="1" applyBorder="1" applyAlignment="1">
      <alignment horizontal="center"/>
    </xf>
    <xf numFmtId="0" fontId="2" fillId="0" borderId="3" xfId="0" applyFont="1" applyBorder="1" applyAlignment="1">
      <alignment horizontal="center"/>
    </xf>
    <xf numFmtId="0" fontId="0" fillId="0" borderId="16" xfId="0" applyBorder="1" applyAlignment="1">
      <alignment horizontal="center"/>
    </xf>
    <xf numFmtId="0" fontId="0" fillId="0" borderId="18" xfId="0" applyBorder="1" applyAlignment="1">
      <alignment horizontal="center"/>
    </xf>
    <xf numFmtId="0" fontId="49" fillId="13" borderId="0" xfId="3" applyFont="1" applyBorder="1" applyAlignment="1">
      <alignment horizontal="left"/>
    </xf>
    <xf numFmtId="0" fontId="49" fillId="13" borderId="0" xfId="3" applyFont="1" applyBorder="1" applyAlignment="1">
      <alignment horizontal="center" wrapText="1"/>
    </xf>
  </cellXfs>
  <cellStyles count="6">
    <cellStyle name="Insatisfaisant" xfId="3" builtinId="27" customBuiltin="1"/>
    <cellStyle name="Milliers" xfId="5" builtinId="3"/>
    <cellStyle name="NA" xfId="4" xr:uid="{00000000-0005-0000-0000-000001000000}"/>
    <cellStyle name="Neutre" xfId="1" builtinId="28" customBuiltin="1"/>
    <cellStyle name="Normal" xfId="0" builtinId="0"/>
    <cellStyle name="Satisfaisant" xfId="2" builtinId="26" customBuiltin="1"/>
  </cellStyles>
  <dxfs count="34">
    <dxf>
      <font>
        <color theme="0"/>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tint="-4.9989318521683403E-2"/>
        </patternFill>
      </fill>
      <border>
        <left style="thin">
          <color auto="1"/>
        </left>
        <right style="thin">
          <color auto="1"/>
        </right>
        <top style="thin">
          <color auto="1"/>
        </top>
        <bottom style="thin">
          <color auto="1"/>
        </bottom>
      </border>
    </dxf>
    <dxf>
      <font>
        <color theme="0"/>
      </font>
      <fill>
        <patternFill>
          <bgColor theme="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ont>
        <color theme="0"/>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auto="1"/>
        </left>
        <right style="thin">
          <color auto="1"/>
        </right>
        <top style="thin">
          <color auto="1"/>
        </top>
        <bottom style="thin">
          <color auto="1"/>
        </bottom>
        <vertical/>
        <horizontal/>
      </border>
    </dxf>
    <dxf>
      <fill>
        <patternFill>
          <bgColor rgb="FF92D050"/>
        </patternFill>
      </fill>
    </dxf>
    <dxf>
      <fill>
        <patternFill>
          <bgColor rgb="FFFF0000"/>
        </patternFill>
      </fill>
    </dxf>
    <dxf>
      <font>
        <color theme="0"/>
      </font>
      <fill>
        <patternFill>
          <bgColor theme="0"/>
        </patternFill>
      </fill>
      <border>
        <left style="thin">
          <color auto="1"/>
        </left>
        <right style="thin">
          <color auto="1"/>
        </right>
        <top style="thin">
          <color auto="1"/>
        </top>
        <bottom style="thin">
          <color auto="1"/>
        </bottom>
      </border>
    </dxf>
    <dxf>
      <font>
        <color theme="0"/>
      </font>
      <fill>
        <patternFill>
          <bgColor theme="0"/>
        </patternFill>
      </fill>
      <border>
        <left style="thin">
          <color auto="1"/>
        </left>
        <right style="thin">
          <color auto="1"/>
        </right>
        <top style="thin">
          <color auto="1"/>
        </top>
        <bottom style="thin">
          <color auto="1"/>
        </bottom>
      </border>
    </dxf>
    <dxf>
      <fill>
        <patternFill>
          <bgColor rgb="FF92D050"/>
        </patternFill>
      </fill>
    </dxf>
    <dxf>
      <fill>
        <patternFill>
          <bgColor rgb="FFFF0000"/>
        </patternFill>
      </fill>
    </dxf>
    <dxf>
      <fill>
        <patternFill>
          <bgColor rgb="FF00B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Light16"/>
  <colors>
    <mruColors>
      <color rgb="FFFF3300"/>
      <color rgb="FFF2D70E"/>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Drop" dropLines="2" dropStyle="combo" dx="16" fmlaLink="$E$14" fmlaRange="Outils!$W$1:$W$2" noThreeD="1" sel="2" val="0"/>
</file>

<file path=xl/ctrlProps/ctrlProp2.xml><?xml version="1.0" encoding="utf-8"?>
<formControlPr xmlns="http://schemas.microsoft.com/office/spreadsheetml/2009/9/main" objectType="Drop" dropLines="2" dropStyle="combo" dx="16" fmlaLink="$E$28" fmlaRange="Outils!$AA$1:$AA$2" noThreeD="1" sel="1" val="0"/>
</file>

<file path=xl/ctrlProps/ctrlProp3.xml><?xml version="1.0" encoding="utf-8"?>
<formControlPr xmlns="http://schemas.microsoft.com/office/spreadsheetml/2009/9/main" objectType="Drop" dropLines="2" dropStyle="combo" dx="16" fmlaLink="$E$42" fmlaRange="Outils!$AI$1:$AI$2" noThreeD="1" sel="2" val="0"/>
</file>

<file path=xl/ctrlProps/ctrlProp4.xml><?xml version="1.0" encoding="utf-8"?>
<formControlPr xmlns="http://schemas.microsoft.com/office/spreadsheetml/2009/9/main" objectType="Drop" dropLines="3" dropStyle="combo" dx="16" fmlaLink="$E$21" fmlaRange="Outils!$S$1:$S$3" noThreeD="1" sel="1" val="0"/>
</file>

<file path=xl/ctrlProps/ctrlProp5.xml><?xml version="1.0" encoding="utf-8"?>
<formControlPr xmlns="http://schemas.microsoft.com/office/spreadsheetml/2009/9/main" objectType="Drop" dropLines="3" dropStyle="combo" dx="16" fmlaLink="$E$29" fmlaRange="Outils!$V$1:$V$3" noThreeD="1" sel="1" val="0"/>
</file>

<file path=xl/ctrlProps/ctrlProp6.xml><?xml version="1.0" encoding="utf-8"?>
<formControlPr xmlns="http://schemas.microsoft.com/office/spreadsheetml/2009/9/main" objectType="Drop" dropLines="3" dropStyle="combo" dx="16" fmlaLink="$E$44" fmlaRange="Outils!$X$1:$X$3" noThreeD="1" sel="1"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2" dropStyle="combo" dx="16" fmlaLink="$E$37" fmlaRange="Outils!$AE$1:$AE$2" noThreeD="1" sel="2"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2</xdr:col>
      <xdr:colOff>19497</xdr:colOff>
      <xdr:row>22</xdr:row>
      <xdr:rowOff>110714</xdr:rowOff>
    </xdr:from>
    <xdr:ext cx="644792" cy="639856"/>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42957" y="4187414"/>
          <a:ext cx="644792" cy="639856"/>
        </a:xfrm>
        <a:prstGeom prst="rect">
          <a:avLst/>
        </a:prstGeom>
      </xdr:spPr>
    </xdr:pic>
    <xdr:clientData/>
  </xdr:oneCellAnchor>
  <xdr:oneCellAnchor>
    <xdr:from>
      <xdr:col>1</xdr:col>
      <xdr:colOff>1443174</xdr:colOff>
      <xdr:row>28</xdr:row>
      <xdr:rowOff>169544</xdr:rowOff>
    </xdr:from>
    <xdr:ext cx="2721807" cy="238158"/>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82117" y="5438230"/>
          <a:ext cx="2721807" cy="238158"/>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8</xdr:col>
      <xdr:colOff>311431</xdr:colOff>
      <xdr:row>11</xdr:row>
      <xdr:rowOff>134167</xdr:rowOff>
    </xdr:from>
    <xdr:ext cx="1653986" cy="1835261"/>
    <xdr:pic>
      <xdr:nvPicPr>
        <xdr:cNvPr id="55" name="Image 54">
          <a:extLst>
            <a:ext uri="{FF2B5EF4-FFF2-40B4-BE49-F238E27FC236}">
              <a16:creationId xmlns:a16="http://schemas.microsoft.com/office/drawing/2014/main" id="{00000000-0008-0000-0200-00003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77891" y="2374447"/>
          <a:ext cx="1653986" cy="1835261"/>
        </a:xfrm>
        <a:prstGeom prst="rect">
          <a:avLst/>
        </a:prstGeom>
      </xdr:spPr>
    </xdr:pic>
    <xdr:clientData/>
  </xdr:oneCellAnchor>
  <xdr:oneCellAnchor>
    <xdr:from>
      <xdr:col>10</xdr:col>
      <xdr:colOff>1266344</xdr:colOff>
      <xdr:row>11</xdr:row>
      <xdr:rowOff>141042</xdr:rowOff>
    </xdr:from>
    <xdr:ext cx="2297365" cy="1826662"/>
    <xdr:pic>
      <xdr:nvPicPr>
        <xdr:cNvPr id="56" name="Image 55">
          <a:extLst>
            <a:ext uri="{FF2B5EF4-FFF2-40B4-BE49-F238E27FC236}">
              <a16:creationId xmlns:a16="http://schemas.microsoft.com/office/drawing/2014/main" id="{00000000-0008-0000-0200-00003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162444" y="2381322"/>
          <a:ext cx="2297365" cy="1826662"/>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4</xdr:col>
          <xdr:colOff>403860</xdr:colOff>
          <xdr:row>13</xdr:row>
          <xdr:rowOff>7620</xdr:rowOff>
        </xdr:from>
        <xdr:to>
          <xdr:col>7</xdr:col>
          <xdr:colOff>388620</xdr:colOff>
          <xdr:row>14</xdr:row>
          <xdr:rowOff>0</xdr:rowOff>
        </xdr:to>
        <xdr:sp macro="" textlink="">
          <xdr:nvSpPr>
            <xdr:cNvPr id="3191" name="Drop Down 119" hidden="1">
              <a:extLst>
                <a:ext uri="{63B3BB69-23CF-44E3-9099-C40C66FF867C}">
                  <a14:compatExt spid="_x0000_s3191"/>
                </a:ext>
                <a:ext uri="{FF2B5EF4-FFF2-40B4-BE49-F238E27FC236}">
                  <a16:creationId xmlns:a16="http://schemas.microsoft.com/office/drawing/2014/main" id="{00000000-0008-0000-0200-00007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27</xdr:row>
          <xdr:rowOff>0</xdr:rowOff>
        </xdr:from>
        <xdr:to>
          <xdr:col>7</xdr:col>
          <xdr:colOff>198120</xdr:colOff>
          <xdr:row>28</xdr:row>
          <xdr:rowOff>0</xdr:rowOff>
        </xdr:to>
        <xdr:sp macro="" textlink="">
          <xdr:nvSpPr>
            <xdr:cNvPr id="3193" name="Drop Down 121" hidden="1">
              <a:extLst>
                <a:ext uri="{63B3BB69-23CF-44E3-9099-C40C66FF867C}">
                  <a14:compatExt spid="_x0000_s3193"/>
                </a:ext>
                <a:ext uri="{FF2B5EF4-FFF2-40B4-BE49-F238E27FC236}">
                  <a16:creationId xmlns:a16="http://schemas.microsoft.com/office/drawing/2014/main" id="{00000000-0008-0000-0200-00007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640080</xdr:colOff>
          <xdr:row>41</xdr:row>
          <xdr:rowOff>0</xdr:rowOff>
        </xdr:from>
        <xdr:to>
          <xdr:col>7</xdr:col>
          <xdr:colOff>228600</xdr:colOff>
          <xdr:row>42</xdr:row>
          <xdr:rowOff>0</xdr:rowOff>
        </xdr:to>
        <xdr:sp macro="" textlink="">
          <xdr:nvSpPr>
            <xdr:cNvPr id="3205" name="Drop Down 133" hidden="1">
              <a:extLst>
                <a:ext uri="{63B3BB69-23CF-44E3-9099-C40C66FF867C}">
                  <a14:compatExt spid="_x0000_s3205"/>
                </a:ext>
                <a:ext uri="{FF2B5EF4-FFF2-40B4-BE49-F238E27FC236}">
                  <a16:creationId xmlns:a16="http://schemas.microsoft.com/office/drawing/2014/main" id="{00000000-0008-0000-0200-00008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20</xdr:row>
          <xdr:rowOff>0</xdr:rowOff>
        </xdr:from>
        <xdr:to>
          <xdr:col>7</xdr:col>
          <xdr:colOff>739140</xdr:colOff>
          <xdr:row>21</xdr:row>
          <xdr:rowOff>0</xdr:rowOff>
        </xdr:to>
        <xdr:sp macro="" textlink="">
          <xdr:nvSpPr>
            <xdr:cNvPr id="3223" name="Drop Down 151" hidden="1">
              <a:extLst>
                <a:ext uri="{63B3BB69-23CF-44E3-9099-C40C66FF867C}">
                  <a14:compatExt spid="_x0000_s3223"/>
                </a:ext>
                <a:ext uri="{FF2B5EF4-FFF2-40B4-BE49-F238E27FC236}">
                  <a16:creationId xmlns:a16="http://schemas.microsoft.com/office/drawing/2014/main" id="{00000000-0008-0000-0200-00009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87087</xdr:colOff>
      <xdr:row>47</xdr:row>
      <xdr:rowOff>108857</xdr:rowOff>
    </xdr:from>
    <xdr:to>
      <xdr:col>11</xdr:col>
      <xdr:colOff>858196</xdr:colOff>
      <xdr:row>73</xdr:row>
      <xdr:rowOff>206193</xdr:rowOff>
    </xdr:to>
    <xdr:pic>
      <xdr:nvPicPr>
        <xdr:cNvPr id="11" name="Image 10" descr="http://reef.arteliagroup.com/reef4/ImageProxy?imageSrc=documents/fig/png100/small_fig_LGO_1.png">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52458" y="9568543"/>
          <a:ext cx="4827127" cy="5986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947055</xdr:colOff>
      <xdr:row>48</xdr:row>
      <xdr:rowOff>87086</xdr:rowOff>
    </xdr:from>
    <xdr:to>
      <xdr:col>22</xdr:col>
      <xdr:colOff>591717</xdr:colOff>
      <xdr:row>52</xdr:row>
      <xdr:rowOff>209978</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4"/>
        <a:stretch>
          <a:fillRect/>
        </a:stretch>
      </xdr:blipFill>
      <xdr:spPr>
        <a:xfrm>
          <a:off x="10983684" y="9775372"/>
          <a:ext cx="9781686" cy="1192957"/>
        </a:xfrm>
        <a:prstGeom prst="rect">
          <a:avLst/>
        </a:prstGeom>
      </xdr:spPr>
    </xdr:pic>
    <xdr:clientData/>
  </xdr:twoCellAnchor>
  <xdr:twoCellAnchor editAs="oneCell">
    <xdr:from>
      <xdr:col>11</xdr:col>
      <xdr:colOff>838200</xdr:colOff>
      <xdr:row>54</xdr:row>
      <xdr:rowOff>87084</xdr:rowOff>
    </xdr:from>
    <xdr:to>
      <xdr:col>20</xdr:col>
      <xdr:colOff>398254</xdr:colOff>
      <xdr:row>58</xdr:row>
      <xdr:rowOff>171899</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5"/>
        <a:stretch>
          <a:fillRect/>
        </a:stretch>
      </xdr:blipFill>
      <xdr:spPr>
        <a:xfrm>
          <a:off x="10874829" y="11310255"/>
          <a:ext cx="8148585" cy="9915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426720</xdr:colOff>
          <xdr:row>28</xdr:row>
          <xdr:rowOff>7620</xdr:rowOff>
        </xdr:from>
        <xdr:to>
          <xdr:col>6</xdr:col>
          <xdr:colOff>175260</xdr:colOff>
          <xdr:row>29</xdr:row>
          <xdr:rowOff>7620</xdr:rowOff>
        </xdr:to>
        <xdr:sp macro="" textlink="">
          <xdr:nvSpPr>
            <xdr:cNvPr id="13316" name="Drop Down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43</xdr:row>
          <xdr:rowOff>83820</xdr:rowOff>
        </xdr:from>
        <xdr:to>
          <xdr:col>7</xdr:col>
          <xdr:colOff>426720</xdr:colOff>
          <xdr:row>43</xdr:row>
          <xdr:rowOff>289560</xdr:rowOff>
        </xdr:to>
        <xdr:sp macro="" textlink="">
          <xdr:nvSpPr>
            <xdr:cNvPr id="13317" name="Drop Dow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45720</xdr:colOff>
          <xdr:row>11</xdr:row>
          <xdr:rowOff>22860</xdr:rowOff>
        </xdr:from>
        <xdr:to>
          <xdr:col>12</xdr:col>
          <xdr:colOff>1249680</xdr:colOff>
          <xdr:row>12</xdr:row>
          <xdr:rowOff>228600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300-00000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Appuyez svp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36</xdr:row>
          <xdr:rowOff>7620</xdr:rowOff>
        </xdr:from>
        <xdr:to>
          <xdr:col>6</xdr:col>
          <xdr:colOff>350520</xdr:colOff>
          <xdr:row>37</xdr:row>
          <xdr:rowOff>0</xdr:rowOff>
        </xdr:to>
        <xdr:sp macro="" textlink="">
          <xdr:nvSpPr>
            <xdr:cNvPr id="13325" name="Drop Down 13" hidden="1">
              <a:extLst>
                <a:ext uri="{63B3BB69-23CF-44E3-9099-C40C66FF867C}">
                  <a14:compatExt spid="_x0000_s13325"/>
                </a:ext>
                <a:ext uri="{FF2B5EF4-FFF2-40B4-BE49-F238E27FC236}">
                  <a16:creationId xmlns:a16="http://schemas.microsoft.com/office/drawing/2014/main" id="{00000000-0008-0000-03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12</xdr:col>
      <xdr:colOff>2241176</xdr:colOff>
      <xdr:row>10</xdr:row>
      <xdr:rowOff>170329</xdr:rowOff>
    </xdr:from>
    <xdr:ext cx="644792" cy="639856"/>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27976" y="2133600"/>
          <a:ext cx="644792" cy="639856"/>
        </a:xfrm>
        <a:prstGeom prst="rect">
          <a:avLst/>
        </a:prstGeom>
      </xdr:spPr>
    </xdr:pic>
    <xdr:clientData/>
  </xdr:oneCellAnchor>
  <xdr:twoCellAnchor>
    <xdr:from>
      <xdr:col>12</xdr:col>
      <xdr:colOff>1272988</xdr:colOff>
      <xdr:row>12</xdr:row>
      <xdr:rowOff>17930</xdr:rowOff>
    </xdr:from>
    <xdr:to>
      <xdr:col>12</xdr:col>
      <xdr:colOff>2241176</xdr:colOff>
      <xdr:row>12</xdr:row>
      <xdr:rowOff>24093</xdr:rowOff>
    </xdr:to>
    <xdr:cxnSp macro="">
      <xdr:nvCxnSpPr>
        <xdr:cNvPr id="4" name="Connecteur droit avec flèche 3">
          <a:extLst>
            <a:ext uri="{FF2B5EF4-FFF2-40B4-BE49-F238E27FC236}">
              <a16:creationId xmlns:a16="http://schemas.microsoft.com/office/drawing/2014/main" id="{00000000-0008-0000-0300-000004000000}"/>
            </a:ext>
          </a:extLst>
        </xdr:cNvPr>
        <xdr:cNvCxnSpPr>
          <a:stCxn id="2" idx="1"/>
        </xdr:cNvCxnSpPr>
      </xdr:nvCxnSpPr>
      <xdr:spPr>
        <a:xfrm flipH="1" flipV="1">
          <a:off x="9959788" y="2447365"/>
          <a:ext cx="968188" cy="61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2419350</xdr:colOff>
      <xdr:row>38</xdr:row>
      <xdr:rowOff>200025</xdr:rowOff>
    </xdr:from>
    <xdr:to>
      <xdr:col>5</xdr:col>
      <xdr:colOff>2657475</xdr:colOff>
      <xdr:row>39</xdr:row>
      <xdr:rowOff>161925</xdr:rowOff>
    </xdr:to>
    <xdr:cxnSp macro="">
      <xdr:nvCxnSpPr>
        <xdr:cNvPr id="2" name="Connecteur droit avec flèche 1">
          <a:extLst>
            <a:ext uri="{FF2B5EF4-FFF2-40B4-BE49-F238E27FC236}">
              <a16:creationId xmlns:a16="http://schemas.microsoft.com/office/drawing/2014/main" id="{00000000-0008-0000-0400-000002000000}"/>
            </a:ext>
          </a:extLst>
        </xdr:cNvPr>
        <xdr:cNvCxnSpPr/>
      </xdr:nvCxnSpPr>
      <xdr:spPr>
        <a:xfrm flipV="1">
          <a:off x="6819900" y="8905875"/>
          <a:ext cx="238125" cy="2000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2638425</xdr:colOff>
      <xdr:row>40</xdr:row>
      <xdr:rowOff>47625</xdr:rowOff>
    </xdr:from>
    <xdr:to>
      <xdr:col>6</xdr:col>
      <xdr:colOff>428625</xdr:colOff>
      <xdr:row>41</xdr:row>
      <xdr:rowOff>123827</xdr:rowOff>
    </xdr:to>
    <xdr:cxnSp macro="">
      <xdr:nvCxnSpPr>
        <xdr:cNvPr id="4" name="Connecteur droit avec flèche 3">
          <a:extLst>
            <a:ext uri="{FF2B5EF4-FFF2-40B4-BE49-F238E27FC236}">
              <a16:creationId xmlns:a16="http://schemas.microsoft.com/office/drawing/2014/main" id="{00000000-0008-0000-0400-000004000000}"/>
            </a:ext>
          </a:extLst>
        </xdr:cNvPr>
        <xdr:cNvCxnSpPr/>
      </xdr:nvCxnSpPr>
      <xdr:spPr>
        <a:xfrm flipV="1">
          <a:off x="6858000" y="8724900"/>
          <a:ext cx="476250" cy="304802"/>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xdr:col>
      <xdr:colOff>140616</xdr:colOff>
      <xdr:row>42</xdr:row>
      <xdr:rowOff>28014</xdr:rowOff>
    </xdr:from>
    <xdr:to>
      <xdr:col>11</xdr:col>
      <xdr:colOff>51818</xdr:colOff>
      <xdr:row>51</xdr:row>
      <xdr:rowOff>109434</xdr:rowOff>
    </xdr:to>
    <xdr:pic>
      <xdr:nvPicPr>
        <xdr:cNvPr id="3" name="Imag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13769" y="8741708"/>
          <a:ext cx="4698355" cy="18205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1190625</xdr:colOff>
      <xdr:row>15</xdr:row>
      <xdr:rowOff>123825</xdr:rowOff>
    </xdr:from>
    <xdr:to>
      <xdr:col>5</xdr:col>
      <xdr:colOff>2990850</xdr:colOff>
      <xdr:row>17</xdr:row>
      <xdr:rowOff>133350</xdr:rowOff>
    </xdr:to>
    <xdr:cxnSp macro="">
      <xdr:nvCxnSpPr>
        <xdr:cNvPr id="2" name="Connecteur droit avec flèche 1">
          <a:extLst>
            <a:ext uri="{FF2B5EF4-FFF2-40B4-BE49-F238E27FC236}">
              <a16:creationId xmlns:a16="http://schemas.microsoft.com/office/drawing/2014/main" id="{00000000-0008-0000-0500-000002000000}"/>
            </a:ext>
          </a:extLst>
        </xdr:cNvPr>
        <xdr:cNvCxnSpPr>
          <a:cxnSpLocks/>
          <a:endCxn id="4" idx="1"/>
        </xdr:cNvCxnSpPr>
      </xdr:nvCxnSpPr>
      <xdr:spPr>
        <a:xfrm>
          <a:off x="4410075" y="3409950"/>
          <a:ext cx="3000375" cy="47625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1190625</xdr:colOff>
      <xdr:row>16</xdr:row>
      <xdr:rowOff>123825</xdr:rowOff>
    </xdr:from>
    <xdr:to>
      <xdr:col>6</xdr:col>
      <xdr:colOff>0</xdr:colOff>
      <xdr:row>20</xdr:row>
      <xdr:rowOff>114300</xdr:rowOff>
    </xdr:to>
    <xdr:cxnSp macro="">
      <xdr:nvCxnSpPr>
        <xdr:cNvPr id="3" name="Connecteur droit avec flèche 2">
          <a:extLst>
            <a:ext uri="{FF2B5EF4-FFF2-40B4-BE49-F238E27FC236}">
              <a16:creationId xmlns:a16="http://schemas.microsoft.com/office/drawing/2014/main" id="{00000000-0008-0000-0500-000003000000}"/>
            </a:ext>
          </a:extLst>
        </xdr:cNvPr>
        <xdr:cNvCxnSpPr/>
      </xdr:nvCxnSpPr>
      <xdr:spPr>
        <a:xfrm>
          <a:off x="4410075" y="3638550"/>
          <a:ext cx="2809875" cy="9239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2990850</xdr:colOff>
      <xdr:row>16</xdr:row>
      <xdr:rowOff>19049</xdr:rowOff>
    </xdr:from>
    <xdr:to>
      <xdr:col>5</xdr:col>
      <xdr:colOff>3057525</xdr:colOff>
      <xdr:row>19</xdr:row>
      <xdr:rowOff>19050</xdr:rowOff>
    </xdr:to>
    <xdr:sp macro="" textlink="">
      <xdr:nvSpPr>
        <xdr:cNvPr id="4" name="Accolade ouvrante 3">
          <a:extLst>
            <a:ext uri="{FF2B5EF4-FFF2-40B4-BE49-F238E27FC236}">
              <a16:creationId xmlns:a16="http://schemas.microsoft.com/office/drawing/2014/main" id="{00000000-0008-0000-0500-000004000000}"/>
            </a:ext>
          </a:extLst>
        </xdr:cNvPr>
        <xdr:cNvSpPr/>
      </xdr:nvSpPr>
      <xdr:spPr>
        <a:xfrm>
          <a:off x="7410450" y="3533774"/>
          <a:ext cx="66675" cy="704851"/>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fr-FR" sz="1100"/>
        </a:p>
      </xdr:txBody>
    </xdr:sp>
    <xdr:clientData/>
  </xdr:twoCellAnchor>
  <xdr:twoCellAnchor>
    <xdr:from>
      <xdr:col>4</xdr:col>
      <xdr:colOff>28575</xdr:colOff>
      <xdr:row>13</xdr:row>
      <xdr:rowOff>123825</xdr:rowOff>
    </xdr:from>
    <xdr:to>
      <xdr:col>4</xdr:col>
      <xdr:colOff>1581150</xdr:colOff>
      <xdr:row>13</xdr:row>
      <xdr:rowOff>123825</xdr:rowOff>
    </xdr:to>
    <xdr:cxnSp macro="">
      <xdr:nvCxnSpPr>
        <xdr:cNvPr id="5" name="Connecteur droit avec flèche 4">
          <a:extLst>
            <a:ext uri="{FF2B5EF4-FFF2-40B4-BE49-F238E27FC236}">
              <a16:creationId xmlns:a16="http://schemas.microsoft.com/office/drawing/2014/main" id="{00000000-0008-0000-0500-000005000000}"/>
            </a:ext>
          </a:extLst>
        </xdr:cNvPr>
        <xdr:cNvCxnSpPr/>
      </xdr:nvCxnSpPr>
      <xdr:spPr>
        <a:xfrm>
          <a:off x="3248025" y="2981325"/>
          <a:ext cx="1171575" cy="0"/>
        </a:xfrm>
        <a:prstGeom prst="straightConnector1">
          <a:avLst/>
        </a:prstGeom>
        <a:ln w="28575">
          <a:headEnd type="none" w="med" len="med"/>
          <a:tailEnd type="triangl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729343</xdr:colOff>
      <xdr:row>18</xdr:row>
      <xdr:rowOff>108857</xdr:rowOff>
    </xdr:from>
    <xdr:to>
      <xdr:col>30</xdr:col>
      <xdr:colOff>729343</xdr:colOff>
      <xdr:row>22</xdr:row>
      <xdr:rowOff>43543</xdr:rowOff>
    </xdr:to>
    <xdr:cxnSp macro="">
      <xdr:nvCxnSpPr>
        <xdr:cNvPr id="7" name="Connecteur droit avec flèche 6">
          <a:extLst>
            <a:ext uri="{FF2B5EF4-FFF2-40B4-BE49-F238E27FC236}">
              <a16:creationId xmlns:a16="http://schemas.microsoft.com/office/drawing/2014/main" id="{00000000-0008-0000-0500-000007000000}"/>
            </a:ext>
          </a:extLst>
        </xdr:cNvPr>
        <xdr:cNvCxnSpPr/>
      </xdr:nvCxnSpPr>
      <xdr:spPr>
        <a:xfrm flipV="1">
          <a:off x="28836257" y="3820886"/>
          <a:ext cx="0" cy="71845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1190625</xdr:colOff>
      <xdr:row>15</xdr:row>
      <xdr:rowOff>123825</xdr:rowOff>
    </xdr:from>
    <xdr:to>
      <xdr:col>5</xdr:col>
      <xdr:colOff>2990850</xdr:colOff>
      <xdr:row>17</xdr:row>
      <xdr:rowOff>133350</xdr:rowOff>
    </xdr:to>
    <xdr:cxnSp macro="">
      <xdr:nvCxnSpPr>
        <xdr:cNvPr id="2" name="Connecteur droit avec flèche 1">
          <a:extLst>
            <a:ext uri="{FF2B5EF4-FFF2-40B4-BE49-F238E27FC236}">
              <a16:creationId xmlns:a16="http://schemas.microsoft.com/office/drawing/2014/main" id="{00000000-0008-0000-0600-000002000000}"/>
            </a:ext>
          </a:extLst>
        </xdr:cNvPr>
        <xdr:cNvCxnSpPr>
          <a:cxnSpLocks/>
          <a:endCxn id="4" idx="1"/>
        </xdr:cNvCxnSpPr>
      </xdr:nvCxnSpPr>
      <xdr:spPr>
        <a:xfrm>
          <a:off x="4581525" y="3194685"/>
          <a:ext cx="3034665" cy="41338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1190625</xdr:colOff>
      <xdr:row>16</xdr:row>
      <xdr:rowOff>123825</xdr:rowOff>
    </xdr:from>
    <xdr:to>
      <xdr:col>6</xdr:col>
      <xdr:colOff>0</xdr:colOff>
      <xdr:row>20</xdr:row>
      <xdr:rowOff>114300</xdr:rowOff>
    </xdr:to>
    <xdr:cxnSp macro="">
      <xdr:nvCxnSpPr>
        <xdr:cNvPr id="3" name="Connecteur droit avec flèche 2">
          <a:extLst>
            <a:ext uri="{FF2B5EF4-FFF2-40B4-BE49-F238E27FC236}">
              <a16:creationId xmlns:a16="http://schemas.microsoft.com/office/drawing/2014/main" id="{00000000-0008-0000-0600-000003000000}"/>
            </a:ext>
          </a:extLst>
        </xdr:cNvPr>
        <xdr:cNvCxnSpPr/>
      </xdr:nvCxnSpPr>
      <xdr:spPr>
        <a:xfrm>
          <a:off x="4581525" y="3392805"/>
          <a:ext cx="3228975" cy="80581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2990850</xdr:colOff>
      <xdr:row>16</xdr:row>
      <xdr:rowOff>19049</xdr:rowOff>
    </xdr:from>
    <xdr:to>
      <xdr:col>5</xdr:col>
      <xdr:colOff>3057525</xdr:colOff>
      <xdr:row>19</xdr:row>
      <xdr:rowOff>19050</xdr:rowOff>
    </xdr:to>
    <xdr:sp macro="" textlink="">
      <xdr:nvSpPr>
        <xdr:cNvPr id="4" name="Accolade ouvrante 3">
          <a:extLst>
            <a:ext uri="{FF2B5EF4-FFF2-40B4-BE49-F238E27FC236}">
              <a16:creationId xmlns:a16="http://schemas.microsoft.com/office/drawing/2014/main" id="{00000000-0008-0000-0600-000004000000}"/>
            </a:ext>
          </a:extLst>
        </xdr:cNvPr>
        <xdr:cNvSpPr/>
      </xdr:nvSpPr>
      <xdr:spPr>
        <a:xfrm>
          <a:off x="7616190" y="3288029"/>
          <a:ext cx="66675" cy="617221"/>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fr-FR" sz="1100"/>
        </a:p>
      </xdr:txBody>
    </xdr:sp>
    <xdr:clientData/>
  </xdr:twoCellAnchor>
  <xdr:twoCellAnchor>
    <xdr:from>
      <xdr:col>4</xdr:col>
      <xdr:colOff>28575</xdr:colOff>
      <xdr:row>13</xdr:row>
      <xdr:rowOff>123825</xdr:rowOff>
    </xdr:from>
    <xdr:to>
      <xdr:col>4</xdr:col>
      <xdr:colOff>1581150</xdr:colOff>
      <xdr:row>13</xdr:row>
      <xdr:rowOff>123825</xdr:rowOff>
    </xdr:to>
    <xdr:cxnSp macro="">
      <xdr:nvCxnSpPr>
        <xdr:cNvPr id="5" name="Connecteur droit avec flèche 4">
          <a:extLst>
            <a:ext uri="{FF2B5EF4-FFF2-40B4-BE49-F238E27FC236}">
              <a16:creationId xmlns:a16="http://schemas.microsoft.com/office/drawing/2014/main" id="{00000000-0008-0000-0600-000005000000}"/>
            </a:ext>
          </a:extLst>
        </xdr:cNvPr>
        <xdr:cNvCxnSpPr/>
      </xdr:nvCxnSpPr>
      <xdr:spPr>
        <a:xfrm>
          <a:off x="3419475" y="2775585"/>
          <a:ext cx="1202055" cy="0"/>
        </a:xfrm>
        <a:prstGeom prst="straightConnector1">
          <a:avLst/>
        </a:prstGeom>
        <a:ln w="28575">
          <a:headEnd type="none" w="med" len="med"/>
          <a:tailEnd type="triangl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729343</xdr:colOff>
      <xdr:row>18</xdr:row>
      <xdr:rowOff>108857</xdr:rowOff>
    </xdr:from>
    <xdr:to>
      <xdr:col>30</xdr:col>
      <xdr:colOff>729343</xdr:colOff>
      <xdr:row>22</xdr:row>
      <xdr:rowOff>43543</xdr:rowOff>
    </xdr:to>
    <xdr:cxnSp macro="">
      <xdr:nvCxnSpPr>
        <xdr:cNvPr id="6" name="Connecteur droit avec flèche 5">
          <a:extLst>
            <a:ext uri="{FF2B5EF4-FFF2-40B4-BE49-F238E27FC236}">
              <a16:creationId xmlns:a16="http://schemas.microsoft.com/office/drawing/2014/main" id="{00000000-0008-0000-0600-000006000000}"/>
            </a:ext>
          </a:extLst>
        </xdr:cNvPr>
        <xdr:cNvCxnSpPr/>
      </xdr:nvCxnSpPr>
      <xdr:spPr>
        <a:xfrm flipV="1">
          <a:off x="28847143" y="3796937"/>
          <a:ext cx="0" cy="727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20</xdr:col>
      <xdr:colOff>0</xdr:colOff>
      <xdr:row>10</xdr:row>
      <xdr:rowOff>142876</xdr:rowOff>
    </xdr:from>
    <xdr:to>
      <xdr:col>20</xdr:col>
      <xdr:colOff>914400</xdr:colOff>
      <xdr:row>16</xdr:row>
      <xdr:rowOff>123825</xdr:rowOff>
    </xdr:to>
    <xdr:cxnSp macro="">
      <xdr:nvCxnSpPr>
        <xdr:cNvPr id="2" name="Connecteur droit avec flèche 1">
          <a:extLst>
            <a:ext uri="{FF2B5EF4-FFF2-40B4-BE49-F238E27FC236}">
              <a16:creationId xmlns:a16="http://schemas.microsoft.com/office/drawing/2014/main" id="{00000000-0008-0000-0700-000002000000}"/>
            </a:ext>
          </a:extLst>
        </xdr:cNvPr>
        <xdr:cNvCxnSpPr/>
      </xdr:nvCxnSpPr>
      <xdr:spPr>
        <a:xfrm flipV="1">
          <a:off x="11725275" y="3133726"/>
          <a:ext cx="914400" cy="140969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6"/>
  <dimension ref="A1:C36"/>
  <sheetViews>
    <sheetView zoomScale="70" zoomScaleNormal="70" workbookViewId="0">
      <selection activeCell="C7" sqref="C7"/>
    </sheetView>
  </sheetViews>
  <sheetFormatPr defaultColWidth="11.42578125" defaultRowHeight="14.45"/>
  <cols>
    <col min="1" max="1" width="18" customWidth="1"/>
    <col min="2" max="2" width="42.7109375" customWidth="1"/>
    <col min="3" max="3" width="139.28515625" customWidth="1"/>
  </cols>
  <sheetData>
    <row r="1" spans="1:3">
      <c r="A1" s="346" t="s">
        <v>0</v>
      </c>
      <c r="B1" s="346"/>
      <c r="C1" s="346"/>
    </row>
    <row r="2" spans="1:3">
      <c r="A2" s="346"/>
      <c r="B2" s="346"/>
      <c r="C2" s="346"/>
    </row>
    <row r="3" spans="1:3" ht="15" thickBot="1"/>
    <row r="4" spans="1:3" ht="15" thickBot="1">
      <c r="A4" s="171" t="s">
        <v>1</v>
      </c>
      <c r="B4" s="172" t="s">
        <v>2</v>
      </c>
      <c r="C4" s="173" t="s">
        <v>3</v>
      </c>
    </row>
    <row r="5" spans="1:3">
      <c r="A5" s="174">
        <v>42948</v>
      </c>
      <c r="B5" s="175" t="s">
        <v>4</v>
      </c>
      <c r="C5" s="176" t="s">
        <v>5</v>
      </c>
    </row>
    <row r="6" spans="1:3">
      <c r="A6" s="337">
        <v>45474</v>
      </c>
      <c r="B6" s="178" t="s">
        <v>6</v>
      </c>
      <c r="C6" s="179" t="s">
        <v>7</v>
      </c>
    </row>
    <row r="7" spans="1:3">
      <c r="A7" s="177"/>
      <c r="B7" s="178"/>
      <c r="C7" s="179"/>
    </row>
    <row r="8" spans="1:3">
      <c r="A8" s="177"/>
      <c r="B8" s="178"/>
      <c r="C8" s="179"/>
    </row>
    <row r="9" spans="1:3">
      <c r="A9" s="177"/>
      <c r="B9" s="178"/>
      <c r="C9" s="179"/>
    </row>
    <row r="10" spans="1:3">
      <c r="A10" s="177"/>
      <c r="B10" s="178"/>
      <c r="C10" s="179"/>
    </row>
    <row r="11" spans="1:3">
      <c r="A11" s="177"/>
      <c r="B11" s="178"/>
      <c r="C11" s="179"/>
    </row>
    <row r="12" spans="1:3">
      <c r="A12" s="177"/>
      <c r="B12" s="178"/>
      <c r="C12" s="179"/>
    </row>
    <row r="13" spans="1:3">
      <c r="A13" s="177"/>
      <c r="B13" s="178"/>
      <c r="C13" s="179"/>
    </row>
    <row r="14" spans="1:3">
      <c r="A14" s="177"/>
      <c r="B14" s="178"/>
      <c r="C14" s="179"/>
    </row>
    <row r="15" spans="1:3">
      <c r="A15" s="177"/>
      <c r="B15" s="178"/>
      <c r="C15" s="179"/>
    </row>
    <row r="16" spans="1:3">
      <c r="A16" s="177"/>
      <c r="B16" s="178"/>
      <c r="C16" s="179"/>
    </row>
    <row r="17" spans="1:3">
      <c r="A17" s="177"/>
      <c r="B17" s="178"/>
      <c r="C17" s="179"/>
    </row>
    <row r="18" spans="1:3">
      <c r="A18" s="177"/>
      <c r="B18" s="178"/>
      <c r="C18" s="179"/>
    </row>
    <row r="19" spans="1:3">
      <c r="A19" s="177"/>
      <c r="B19" s="178"/>
      <c r="C19" s="179"/>
    </row>
    <row r="20" spans="1:3">
      <c r="A20" s="177"/>
      <c r="B20" s="178"/>
      <c r="C20" s="179"/>
    </row>
    <row r="21" spans="1:3">
      <c r="A21" s="177"/>
      <c r="B21" s="178"/>
      <c r="C21" s="179"/>
    </row>
    <row r="22" spans="1:3">
      <c r="A22" s="177"/>
      <c r="B22" s="178"/>
      <c r="C22" s="179"/>
    </row>
    <row r="23" spans="1:3">
      <c r="A23" s="177"/>
      <c r="B23" s="178"/>
      <c r="C23" s="179"/>
    </row>
    <row r="24" spans="1:3">
      <c r="A24" s="177"/>
      <c r="B24" s="178"/>
      <c r="C24" s="179"/>
    </row>
    <row r="25" spans="1:3">
      <c r="A25" s="177"/>
      <c r="B25" s="178"/>
      <c r="C25" s="179"/>
    </row>
    <row r="26" spans="1:3">
      <c r="A26" s="177"/>
      <c r="B26" s="178"/>
      <c r="C26" s="179"/>
    </row>
    <row r="27" spans="1:3">
      <c r="A27" s="177"/>
      <c r="B27" s="178"/>
      <c r="C27" s="179"/>
    </row>
    <row r="28" spans="1:3">
      <c r="A28" s="177"/>
      <c r="B28" s="178"/>
      <c r="C28" s="179"/>
    </row>
    <row r="29" spans="1:3">
      <c r="A29" s="177"/>
      <c r="B29" s="178"/>
      <c r="C29" s="179"/>
    </row>
    <row r="30" spans="1:3">
      <c r="A30" s="177"/>
      <c r="B30" s="178"/>
      <c r="C30" s="179"/>
    </row>
    <row r="31" spans="1:3">
      <c r="A31" s="177"/>
      <c r="B31" s="178"/>
      <c r="C31" s="179"/>
    </row>
    <row r="32" spans="1:3">
      <c r="A32" s="177"/>
      <c r="B32" s="178"/>
      <c r="C32" s="179"/>
    </row>
    <row r="33" spans="1:3">
      <c r="A33" s="177"/>
      <c r="B33" s="178"/>
      <c r="C33" s="179"/>
    </row>
    <row r="34" spans="1:3">
      <c r="A34" s="177"/>
      <c r="B34" s="178"/>
      <c r="C34" s="179"/>
    </row>
    <row r="35" spans="1:3">
      <c r="A35" s="177"/>
      <c r="B35" s="178"/>
      <c r="C35" s="179"/>
    </row>
    <row r="36" spans="1:3" ht="15" thickBot="1">
      <c r="A36" s="180"/>
      <c r="B36" s="181"/>
      <c r="C36" s="182"/>
    </row>
  </sheetData>
  <mergeCells count="1">
    <mergeCell ref="A1:C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4"/>
  <dimension ref="A1:N62"/>
  <sheetViews>
    <sheetView zoomScale="70" zoomScaleNormal="70" workbookViewId="0">
      <selection activeCell="L27" sqref="L27"/>
    </sheetView>
  </sheetViews>
  <sheetFormatPr defaultColWidth="11.42578125" defaultRowHeight="14.45"/>
  <cols>
    <col min="1" max="1" width="19.5703125" customWidth="1"/>
    <col min="2" max="2" width="58.85546875" customWidth="1"/>
    <col min="10" max="10" width="43.42578125" bestFit="1" customWidth="1"/>
  </cols>
  <sheetData>
    <row r="1" spans="1:14" ht="15" thickBot="1">
      <c r="A1" s="201" t="s">
        <v>8</v>
      </c>
      <c r="B1" s="40"/>
      <c r="C1" s="40"/>
      <c r="D1" s="40"/>
    </row>
    <row r="2" spans="1:14" ht="15" thickBot="1">
      <c r="A2" s="202"/>
      <c r="B2" s="202"/>
      <c r="C2" s="40"/>
      <c r="D2" s="40"/>
      <c r="E2" s="362" t="s">
        <v>9</v>
      </c>
      <c r="F2" s="363"/>
      <c r="G2" s="363"/>
      <c r="H2" s="363"/>
      <c r="I2" s="364"/>
      <c r="K2" s="4"/>
      <c r="L2" s="4"/>
    </row>
    <row r="3" spans="1:14" ht="14.45" customHeight="1">
      <c r="A3" s="40" t="s">
        <v>10</v>
      </c>
      <c r="B3" s="40"/>
      <c r="C3" s="40"/>
      <c r="D3" s="40"/>
      <c r="E3" s="214" t="s">
        <v>11</v>
      </c>
      <c r="F3" s="365" t="s">
        <v>12</v>
      </c>
      <c r="G3" s="366"/>
      <c r="H3" s="366"/>
      <c r="I3" s="367"/>
      <c r="M3" s="113"/>
      <c r="N3" s="113"/>
    </row>
    <row r="4" spans="1:14">
      <c r="A4" s="203" t="s">
        <v>13</v>
      </c>
      <c r="B4" s="209" t="s">
        <v>14</v>
      </c>
      <c r="C4" s="40"/>
      <c r="D4" s="40"/>
      <c r="E4" s="215" t="s">
        <v>15</v>
      </c>
      <c r="F4" s="368" t="s">
        <v>16</v>
      </c>
      <c r="G4" s="369"/>
      <c r="H4" s="369"/>
      <c r="I4" s="370"/>
      <c r="K4" s="4"/>
      <c r="L4" s="113"/>
      <c r="M4" s="113"/>
      <c r="N4" s="113"/>
    </row>
    <row r="5" spans="1:14" ht="14.45" customHeight="1">
      <c r="A5" s="203" t="s">
        <v>17</v>
      </c>
      <c r="B5" s="219" t="s">
        <v>8</v>
      </c>
      <c r="C5" s="208"/>
      <c r="D5" s="208"/>
      <c r="E5" s="215" t="s">
        <v>18</v>
      </c>
      <c r="F5" s="368" t="s">
        <v>19</v>
      </c>
      <c r="G5" s="369"/>
      <c r="H5" s="369"/>
      <c r="I5" s="370"/>
      <c r="K5" s="4"/>
      <c r="L5" s="113"/>
      <c r="M5" s="113"/>
      <c r="N5" s="113"/>
    </row>
    <row r="6" spans="1:14">
      <c r="A6" s="203" t="s">
        <v>20</v>
      </c>
      <c r="B6" s="220" t="s">
        <v>21</v>
      </c>
      <c r="C6" s="207"/>
      <c r="D6" s="207"/>
      <c r="E6" s="215" t="s">
        <v>22</v>
      </c>
      <c r="F6" s="368" t="s">
        <v>23</v>
      </c>
      <c r="G6" s="369"/>
      <c r="H6" s="369"/>
      <c r="I6" s="370"/>
      <c r="K6" s="4"/>
      <c r="L6" s="113"/>
      <c r="M6" s="113"/>
      <c r="N6" s="113"/>
    </row>
    <row r="7" spans="1:14">
      <c r="A7" s="203" t="s">
        <v>24</v>
      </c>
      <c r="B7" s="202" t="s">
        <v>25</v>
      </c>
      <c r="C7" s="207"/>
      <c r="D7" s="207"/>
      <c r="E7" s="216" t="s">
        <v>22</v>
      </c>
      <c r="F7" s="347" t="s">
        <v>26</v>
      </c>
      <c r="G7" s="348"/>
      <c r="H7" s="348"/>
      <c r="I7" s="349"/>
      <c r="K7" s="4"/>
      <c r="L7" s="113"/>
      <c r="M7" s="113"/>
    </row>
    <row r="8" spans="1:14" ht="15" thickBot="1">
      <c r="A8" s="203" t="s">
        <v>27</v>
      </c>
      <c r="B8" s="202" t="s">
        <v>28</v>
      </c>
      <c r="C8" s="207"/>
      <c r="D8" s="207"/>
      <c r="E8" s="217" t="s">
        <v>22</v>
      </c>
      <c r="F8" s="373" t="s">
        <v>29</v>
      </c>
      <c r="G8" s="374"/>
      <c r="H8" s="374"/>
      <c r="I8" s="375"/>
      <c r="K8" s="4"/>
      <c r="L8" s="113"/>
      <c r="M8" s="113"/>
    </row>
    <row r="9" spans="1:14">
      <c r="A9" s="203" t="s">
        <v>30</v>
      </c>
      <c r="B9" s="202" t="s">
        <v>31</v>
      </c>
      <c r="C9" s="202"/>
      <c r="D9" s="202"/>
      <c r="E9" s="202"/>
      <c r="F9" s="202"/>
      <c r="G9" s="202"/>
      <c r="K9" s="4"/>
      <c r="L9" s="113"/>
      <c r="M9" s="113"/>
    </row>
    <row r="10" spans="1:14">
      <c r="A10" s="203" t="s">
        <v>32</v>
      </c>
      <c r="B10" t="s">
        <v>33</v>
      </c>
      <c r="F10" s="202"/>
      <c r="G10" s="202"/>
      <c r="L10" s="113"/>
      <c r="M10" s="113"/>
    </row>
    <row r="11" spans="1:14">
      <c r="A11" s="203" t="s">
        <v>34</v>
      </c>
      <c r="B11" t="s">
        <v>35</v>
      </c>
      <c r="F11" s="202"/>
      <c r="G11" s="202"/>
      <c r="L11" s="113"/>
      <c r="M11" s="113"/>
    </row>
    <row r="12" spans="1:14">
      <c r="F12" s="202"/>
      <c r="G12" s="202"/>
      <c r="L12" s="113"/>
      <c r="M12" s="113"/>
    </row>
    <row r="13" spans="1:14">
      <c r="F13" s="202"/>
      <c r="G13" s="202"/>
      <c r="L13" s="113"/>
      <c r="M13" s="113"/>
    </row>
    <row r="14" spans="1:14">
      <c r="A14" s="204" t="s">
        <v>36</v>
      </c>
      <c r="B14" s="202"/>
      <c r="C14" s="202"/>
      <c r="D14" s="202"/>
      <c r="F14" s="202"/>
      <c r="G14" s="202"/>
      <c r="L14" s="113"/>
      <c r="M14" s="113"/>
    </row>
    <row r="15" spans="1:14">
      <c r="A15" s="202" t="s">
        <v>37</v>
      </c>
      <c r="B15" s="202"/>
      <c r="C15" s="202"/>
      <c r="D15" s="202"/>
      <c r="F15" s="40"/>
      <c r="G15" s="40"/>
      <c r="L15" s="113"/>
      <c r="M15" s="113"/>
    </row>
    <row r="16" spans="1:14" ht="15" thickBot="1">
      <c r="A16" s="205"/>
      <c r="B16" s="202"/>
      <c r="C16" s="202"/>
      <c r="D16" s="202"/>
      <c r="F16" s="212"/>
      <c r="G16" s="202"/>
      <c r="L16" s="113"/>
      <c r="M16" s="113"/>
    </row>
    <row r="17" spans="1:13">
      <c r="A17" s="206"/>
      <c r="B17" s="213" t="s">
        <v>38</v>
      </c>
      <c r="C17" s="40"/>
      <c r="D17" s="40"/>
      <c r="E17" s="202"/>
      <c r="F17" s="202"/>
      <c r="G17" s="202"/>
      <c r="L17" s="113"/>
      <c r="M17" s="113"/>
    </row>
    <row r="18" spans="1:13" ht="14.45" customHeight="1">
      <c r="B18" s="94" t="s">
        <v>39</v>
      </c>
      <c r="E18" s="202"/>
      <c r="F18" s="202"/>
      <c r="G18" s="202"/>
      <c r="L18" s="113"/>
      <c r="M18" s="113"/>
    </row>
    <row r="19" spans="1:13" ht="15.6" customHeight="1">
      <c r="B19" s="95" t="s">
        <v>40</v>
      </c>
      <c r="L19" s="113"/>
      <c r="M19" s="113"/>
    </row>
    <row r="20" spans="1:13">
      <c r="B20" s="96" t="s">
        <v>41</v>
      </c>
      <c r="L20" s="113"/>
      <c r="M20" s="113"/>
    </row>
    <row r="21" spans="1:13" ht="15" thickBot="1">
      <c r="B21" s="97" t="s">
        <v>42</v>
      </c>
      <c r="L21" s="113"/>
      <c r="M21" s="113"/>
    </row>
    <row r="22" spans="1:13" ht="15" thickBot="1">
      <c r="L22" s="113"/>
      <c r="M22" s="113"/>
    </row>
    <row r="23" spans="1:13">
      <c r="B23" s="376" t="s">
        <v>43</v>
      </c>
    </row>
    <row r="24" spans="1:13">
      <c r="B24" s="377"/>
    </row>
    <row r="25" spans="1:13">
      <c r="B25" s="377"/>
    </row>
    <row r="26" spans="1:13">
      <c r="B26" s="377"/>
    </row>
    <row r="27" spans="1:13" ht="15" thickBot="1">
      <c r="B27" s="378"/>
      <c r="D27" s="221"/>
    </row>
    <row r="29" spans="1:13" ht="14.45" customHeight="1">
      <c r="A29" s="371" t="s">
        <v>44</v>
      </c>
      <c r="B29" s="372"/>
      <c r="C29" s="372"/>
      <c r="D29" s="372"/>
      <c r="E29" s="372"/>
      <c r="F29" s="372"/>
      <c r="G29" s="372"/>
      <c r="H29" s="372"/>
      <c r="I29" s="372"/>
      <c r="J29" s="372"/>
    </row>
    <row r="30" spans="1:13">
      <c r="A30" s="371"/>
      <c r="B30" s="372"/>
      <c r="C30" s="372"/>
      <c r="D30" s="372"/>
      <c r="E30" s="372"/>
      <c r="F30" s="372"/>
      <c r="G30" s="372"/>
      <c r="H30" s="372"/>
      <c r="I30" s="372"/>
      <c r="J30" s="372"/>
    </row>
    <row r="31" spans="1:13">
      <c r="A31" s="371"/>
      <c r="B31" s="372"/>
      <c r="C31" s="372"/>
      <c r="D31" s="372"/>
      <c r="E31" s="372"/>
      <c r="F31" s="372"/>
      <c r="G31" s="372"/>
      <c r="H31" s="372"/>
      <c r="I31" s="372"/>
      <c r="J31" s="372"/>
    </row>
    <row r="32" spans="1:13">
      <c r="A32" s="371"/>
      <c r="B32" s="372"/>
      <c r="C32" s="372"/>
      <c r="D32" s="372"/>
      <c r="E32" s="372"/>
      <c r="F32" s="372"/>
      <c r="G32" s="372"/>
      <c r="H32" s="372"/>
      <c r="I32" s="372"/>
      <c r="J32" s="372"/>
    </row>
    <row r="33" spans="1:10">
      <c r="A33" s="371"/>
      <c r="B33" s="372"/>
      <c r="C33" s="372"/>
      <c r="D33" s="372"/>
      <c r="E33" s="372"/>
      <c r="F33" s="372"/>
      <c r="G33" s="372"/>
      <c r="H33" s="372"/>
      <c r="I33" s="372"/>
      <c r="J33" s="372"/>
    </row>
    <row r="34" spans="1:10" ht="18.600000000000001" customHeight="1">
      <c r="A34" s="371"/>
      <c r="B34" s="372"/>
      <c r="C34" s="372"/>
      <c r="D34" s="372"/>
      <c r="E34" s="372"/>
      <c r="F34" s="372"/>
      <c r="G34" s="372"/>
      <c r="H34" s="372"/>
      <c r="I34" s="372"/>
      <c r="J34" s="372"/>
    </row>
    <row r="35" spans="1:10" ht="14.45" customHeight="1">
      <c r="A35" s="371"/>
      <c r="B35" s="372"/>
      <c r="C35" s="372"/>
      <c r="D35" s="372"/>
      <c r="E35" s="372"/>
      <c r="F35" s="372"/>
      <c r="G35" s="372"/>
      <c r="H35" s="372"/>
      <c r="I35" s="372"/>
      <c r="J35" s="372"/>
    </row>
    <row r="36" spans="1:10">
      <c r="A36" s="371"/>
      <c r="B36" s="372"/>
      <c r="C36" s="372"/>
      <c r="D36" s="372"/>
      <c r="E36" s="372"/>
      <c r="F36" s="372"/>
      <c r="G36" s="372"/>
      <c r="H36" s="372"/>
      <c r="I36" s="372"/>
      <c r="J36" s="372"/>
    </row>
    <row r="37" spans="1:10">
      <c r="A37" s="371"/>
      <c r="B37" s="372"/>
      <c r="C37" s="372"/>
      <c r="D37" s="372"/>
      <c r="E37" s="372"/>
      <c r="F37" s="372"/>
      <c r="G37" s="372"/>
      <c r="H37" s="372"/>
      <c r="I37" s="372"/>
      <c r="J37" s="372"/>
    </row>
    <row r="38" spans="1:10">
      <c r="A38" s="371"/>
      <c r="B38" s="372"/>
      <c r="C38" s="372"/>
      <c r="D38" s="372"/>
      <c r="E38" s="372"/>
      <c r="F38" s="372"/>
      <c r="G38" s="372"/>
      <c r="H38" s="372"/>
      <c r="I38" s="372"/>
      <c r="J38" s="372"/>
    </row>
    <row r="39" spans="1:10">
      <c r="A39" s="371"/>
      <c r="B39" s="372"/>
      <c r="C39" s="372"/>
      <c r="D39" s="372"/>
      <c r="E39" s="372"/>
      <c r="F39" s="372"/>
      <c r="G39" s="372"/>
      <c r="H39" s="372"/>
      <c r="I39" s="372"/>
      <c r="J39" s="372"/>
    </row>
    <row r="40" spans="1:10">
      <c r="A40" s="371"/>
      <c r="B40" s="372"/>
      <c r="C40" s="372"/>
      <c r="D40" s="372"/>
      <c r="E40" s="372"/>
      <c r="F40" s="372"/>
      <c r="G40" s="372"/>
      <c r="H40" s="372"/>
      <c r="I40" s="372"/>
      <c r="J40" s="372"/>
    </row>
    <row r="41" spans="1:10">
      <c r="A41" s="218"/>
      <c r="B41" s="210"/>
      <c r="C41" s="210"/>
      <c r="D41" s="210"/>
      <c r="E41" s="210"/>
      <c r="F41" s="210"/>
      <c r="G41" s="210"/>
      <c r="H41" s="210"/>
      <c r="I41" s="210"/>
      <c r="J41" s="210"/>
    </row>
    <row r="42" spans="1:10">
      <c r="A42" s="218"/>
      <c r="B42" s="210"/>
      <c r="C42" s="210"/>
      <c r="D42" s="210"/>
      <c r="E42" s="210"/>
      <c r="F42" s="210"/>
      <c r="G42" s="210"/>
      <c r="H42" s="210"/>
      <c r="I42" s="210"/>
      <c r="J42" s="210"/>
    </row>
    <row r="44" spans="1:10" ht="18">
      <c r="A44" s="350" t="s">
        <v>45</v>
      </c>
      <c r="B44" s="351"/>
      <c r="C44" s="351"/>
      <c r="D44" s="351"/>
      <c r="E44" s="351"/>
      <c r="F44" s="351"/>
      <c r="G44" s="351"/>
      <c r="H44" s="352"/>
    </row>
    <row r="45" spans="1:10">
      <c r="A45" s="353" t="s">
        <v>46</v>
      </c>
      <c r="B45" s="354"/>
      <c r="C45" s="354"/>
      <c r="D45" s="354"/>
      <c r="E45" s="354"/>
      <c r="F45" s="354"/>
      <c r="G45" s="354"/>
      <c r="H45" s="355"/>
    </row>
    <row r="46" spans="1:10" ht="14.45" customHeight="1">
      <c r="A46" s="356"/>
      <c r="B46" s="357"/>
      <c r="C46" s="357"/>
      <c r="D46" s="357"/>
      <c r="E46" s="357"/>
      <c r="F46" s="357"/>
      <c r="G46" s="357"/>
      <c r="H46" s="358"/>
    </row>
    <row r="47" spans="1:10" ht="14.45" customHeight="1">
      <c r="A47" s="356"/>
      <c r="B47" s="357"/>
      <c r="C47" s="357"/>
      <c r="D47" s="357"/>
      <c r="E47" s="357"/>
      <c r="F47" s="357"/>
      <c r="G47" s="357"/>
      <c r="H47" s="358"/>
    </row>
    <row r="48" spans="1:10" ht="14.45" customHeight="1">
      <c r="A48" s="356"/>
      <c r="B48" s="357"/>
      <c r="C48" s="357"/>
      <c r="D48" s="357"/>
      <c r="E48" s="357"/>
      <c r="F48" s="357"/>
      <c r="G48" s="357"/>
      <c r="H48" s="358"/>
    </row>
    <row r="49" spans="1:8" ht="14.45" customHeight="1">
      <c r="A49" s="356"/>
      <c r="B49" s="357"/>
      <c r="C49" s="357"/>
      <c r="D49" s="357"/>
      <c r="E49" s="357"/>
      <c r="F49" s="357"/>
      <c r="G49" s="357"/>
      <c r="H49" s="358"/>
    </row>
    <row r="50" spans="1:8" ht="14.45" customHeight="1">
      <c r="A50" s="356"/>
      <c r="B50" s="357"/>
      <c r="C50" s="357"/>
      <c r="D50" s="357"/>
      <c r="E50" s="357"/>
      <c r="F50" s="357"/>
      <c r="G50" s="357"/>
      <c r="H50" s="358"/>
    </row>
    <row r="51" spans="1:8" ht="14.45" customHeight="1">
      <c r="A51" s="356"/>
      <c r="B51" s="357"/>
      <c r="C51" s="357"/>
      <c r="D51" s="357"/>
      <c r="E51" s="357"/>
      <c r="F51" s="357"/>
      <c r="G51" s="357"/>
      <c r="H51" s="358"/>
    </row>
    <row r="52" spans="1:8" ht="14.45" customHeight="1">
      <c r="A52" s="356"/>
      <c r="B52" s="357"/>
      <c r="C52" s="357"/>
      <c r="D52" s="357"/>
      <c r="E52" s="357"/>
      <c r="F52" s="357"/>
      <c r="G52" s="357"/>
      <c r="H52" s="358"/>
    </row>
    <row r="53" spans="1:8" ht="14.45" customHeight="1">
      <c r="A53" s="356"/>
      <c r="B53" s="357"/>
      <c r="C53" s="357"/>
      <c r="D53" s="357"/>
      <c r="E53" s="357"/>
      <c r="F53" s="357"/>
      <c r="G53" s="357"/>
      <c r="H53" s="358"/>
    </row>
    <row r="54" spans="1:8" ht="14.45" customHeight="1">
      <c r="A54" s="356"/>
      <c r="B54" s="357"/>
      <c r="C54" s="357"/>
      <c r="D54" s="357"/>
      <c r="E54" s="357"/>
      <c r="F54" s="357"/>
      <c r="G54" s="357"/>
      <c r="H54" s="358"/>
    </row>
    <row r="55" spans="1:8" ht="14.45" customHeight="1">
      <c r="A55" s="356"/>
      <c r="B55" s="357"/>
      <c r="C55" s="357"/>
      <c r="D55" s="357"/>
      <c r="E55" s="357"/>
      <c r="F55" s="357"/>
      <c r="G55" s="357"/>
      <c r="H55" s="358"/>
    </row>
    <row r="56" spans="1:8" ht="14.45" customHeight="1">
      <c r="A56" s="356"/>
      <c r="B56" s="357"/>
      <c r="C56" s="357"/>
      <c r="D56" s="357"/>
      <c r="E56" s="357"/>
      <c r="F56" s="357"/>
      <c r="G56" s="357"/>
      <c r="H56" s="358"/>
    </row>
    <row r="57" spans="1:8" ht="14.45" customHeight="1">
      <c r="A57" s="356"/>
      <c r="B57" s="357"/>
      <c r="C57" s="357"/>
      <c r="D57" s="357"/>
      <c r="E57" s="357"/>
      <c r="F57" s="357"/>
      <c r="G57" s="357"/>
      <c r="H57" s="358"/>
    </row>
    <row r="58" spans="1:8" ht="14.45" customHeight="1">
      <c r="A58" s="356"/>
      <c r="B58" s="357"/>
      <c r="C58" s="357"/>
      <c r="D58" s="357"/>
      <c r="E58" s="357"/>
      <c r="F58" s="357"/>
      <c r="G58" s="357"/>
      <c r="H58" s="358"/>
    </row>
    <row r="59" spans="1:8" ht="14.45" customHeight="1">
      <c r="A59" s="356"/>
      <c r="B59" s="357"/>
      <c r="C59" s="357"/>
      <c r="D59" s="357"/>
      <c r="E59" s="357"/>
      <c r="F59" s="357"/>
      <c r="G59" s="357"/>
      <c r="H59" s="358"/>
    </row>
    <row r="60" spans="1:8" ht="14.45" customHeight="1">
      <c r="A60" s="356"/>
      <c r="B60" s="357"/>
      <c r="C60" s="357"/>
      <c r="D60" s="357"/>
      <c r="E60" s="357"/>
      <c r="F60" s="357"/>
      <c r="G60" s="357"/>
      <c r="H60" s="358"/>
    </row>
    <row r="61" spans="1:8" ht="14.45" customHeight="1">
      <c r="A61" s="356"/>
      <c r="B61" s="357"/>
      <c r="C61" s="357"/>
      <c r="D61" s="357"/>
      <c r="E61" s="357"/>
      <c r="F61" s="357"/>
      <c r="G61" s="357"/>
      <c r="H61" s="358"/>
    </row>
    <row r="62" spans="1:8" ht="14.45" customHeight="1">
      <c r="A62" s="359"/>
      <c r="B62" s="360"/>
      <c r="C62" s="360"/>
      <c r="D62" s="360"/>
      <c r="E62" s="360"/>
      <c r="F62" s="360"/>
      <c r="G62" s="360"/>
      <c r="H62" s="361"/>
    </row>
  </sheetData>
  <mergeCells count="11">
    <mergeCell ref="F7:I7"/>
    <mergeCell ref="A44:H44"/>
    <mergeCell ref="A45:H62"/>
    <mergeCell ref="E2:I2"/>
    <mergeCell ref="F3:I3"/>
    <mergeCell ref="F4:I4"/>
    <mergeCell ref="F5:I5"/>
    <mergeCell ref="F6:I6"/>
    <mergeCell ref="A29:J40"/>
    <mergeCell ref="F8:I8"/>
    <mergeCell ref="B23:B27"/>
  </mergeCells>
  <phoneticPr fontId="69"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
    <pageSetUpPr fitToPage="1"/>
  </sheetPr>
  <dimension ref="A1:AR100"/>
  <sheetViews>
    <sheetView zoomScaleNormal="100" workbookViewId="0">
      <selection activeCell="D30" sqref="D30"/>
    </sheetView>
  </sheetViews>
  <sheetFormatPr defaultColWidth="11.42578125" defaultRowHeight="14.45"/>
  <cols>
    <col min="1" max="1" width="10.7109375" customWidth="1"/>
    <col min="2" max="2" width="8.42578125" customWidth="1"/>
    <col min="3" max="3" width="5.7109375" customWidth="1"/>
    <col min="4" max="4" width="18.7109375" customWidth="1"/>
    <col min="5" max="5" width="13.5703125" customWidth="1"/>
    <col min="6" max="6" width="9.7109375" customWidth="1"/>
    <col min="7" max="7" width="3.7109375" customWidth="1"/>
    <col min="8" max="8" width="16.7109375" customWidth="1"/>
    <col min="9" max="9" width="6.42578125" customWidth="1"/>
    <col min="10" max="10" width="7.140625" customWidth="1"/>
    <col min="11" max="11" width="45.7109375" customWidth="1"/>
    <col min="12" max="12" width="15.140625" customWidth="1"/>
    <col min="13" max="13" width="59.7109375" customWidth="1"/>
    <col min="14" max="14" width="11.5703125" customWidth="1"/>
    <col min="15" max="15" width="8" customWidth="1"/>
    <col min="16" max="16" width="2" bestFit="1" customWidth="1"/>
    <col min="17" max="17" width="9.28515625" customWidth="1"/>
    <col min="18" max="18" width="4.42578125" bestFit="1" customWidth="1"/>
    <col min="19" max="19" width="4" bestFit="1" customWidth="1"/>
  </cols>
  <sheetData>
    <row r="1" spans="2:44" ht="15" customHeight="1">
      <c r="I1" s="39"/>
      <c r="AR1" s="37"/>
    </row>
    <row r="2" spans="2:44" ht="15" customHeight="1">
      <c r="E2" s="223"/>
      <c r="F2" s="223"/>
      <c r="G2" s="223"/>
      <c r="H2" s="223"/>
      <c r="I2" s="244"/>
      <c r="J2" s="4"/>
      <c r="AR2" s="37"/>
    </row>
    <row r="3" spans="2:44" ht="14.45" customHeight="1">
      <c r="B3" s="19"/>
      <c r="C3" s="19"/>
      <c r="D3" s="223"/>
      <c r="E3" s="223"/>
      <c r="F3" s="223"/>
      <c r="G3" s="19"/>
      <c r="H3" s="19"/>
      <c r="I3" s="39"/>
      <c r="AR3" s="37"/>
    </row>
    <row r="4" spans="2:44" ht="14.45" customHeight="1">
      <c r="G4" s="19"/>
      <c r="H4" s="19"/>
      <c r="I4" s="244"/>
      <c r="J4" s="4"/>
      <c r="AR4" s="37"/>
    </row>
    <row r="5" spans="2:44" ht="17.45" customHeight="1">
      <c r="C5" s="223"/>
      <c r="D5" s="223"/>
      <c r="E5" s="223"/>
      <c r="F5" s="223"/>
      <c r="G5" s="223"/>
      <c r="H5" s="223"/>
      <c r="I5" s="244"/>
      <c r="J5" s="4"/>
      <c r="AR5" s="37"/>
    </row>
    <row r="6" spans="2:44" ht="14.45" customHeight="1">
      <c r="F6" s="222"/>
      <c r="G6" s="222"/>
      <c r="H6" s="222"/>
      <c r="I6" s="244"/>
      <c r="J6" s="4"/>
      <c r="AR6" s="37"/>
    </row>
    <row r="7" spans="2:44" ht="25.9" customHeight="1">
      <c r="B7" s="383" t="s">
        <v>47</v>
      </c>
      <c r="C7" s="383"/>
      <c r="D7" s="383"/>
      <c r="E7" s="383"/>
      <c r="F7" s="383"/>
      <c r="G7" s="383"/>
      <c r="H7" s="383"/>
      <c r="I7" s="244"/>
      <c r="J7" s="4"/>
      <c r="K7" s="437" t="s">
        <v>48</v>
      </c>
      <c r="L7" s="437"/>
      <c r="M7" s="437"/>
      <c r="AR7" s="37"/>
    </row>
    <row r="8" spans="2:44" ht="14.45" customHeight="1">
      <c r="F8" s="19"/>
      <c r="G8" s="19"/>
      <c r="H8" s="19"/>
      <c r="I8" s="244"/>
      <c r="J8" s="4"/>
      <c r="K8" s="437"/>
      <c r="L8" s="437"/>
      <c r="M8" s="437"/>
      <c r="AR8" s="37"/>
    </row>
    <row r="9" spans="2:44" ht="14.45" customHeight="1">
      <c r="B9" s="228" t="s">
        <v>49</v>
      </c>
      <c r="C9" s="19"/>
      <c r="E9" s="229"/>
      <c r="F9" s="19"/>
      <c r="G9" s="19"/>
      <c r="H9" s="19"/>
      <c r="I9" s="244"/>
      <c r="J9" s="4"/>
      <c r="K9" s="437"/>
      <c r="L9" s="437"/>
      <c r="M9" s="437"/>
      <c r="AR9" s="37"/>
    </row>
    <row r="10" spans="2:44" ht="15" customHeight="1">
      <c r="B10" s="230" t="s">
        <v>50</v>
      </c>
      <c r="C10" s="19"/>
      <c r="F10" s="19"/>
      <c r="G10" s="19"/>
      <c r="H10" s="19"/>
      <c r="I10" s="244"/>
      <c r="K10" s="437"/>
      <c r="L10" s="437"/>
      <c r="M10" s="437"/>
      <c r="AR10" s="37"/>
    </row>
    <row r="11" spans="2:44" ht="16.149999999999999" customHeight="1" thickBot="1">
      <c r="B11" s="231" t="s">
        <v>51</v>
      </c>
      <c r="C11" s="231" t="s">
        <v>52</v>
      </c>
      <c r="D11" s="232"/>
      <c r="E11" s="232"/>
      <c r="F11" s="224"/>
      <c r="G11" s="224"/>
      <c r="H11" s="224"/>
      <c r="I11" s="335"/>
      <c r="J11" s="336"/>
      <c r="K11" s="336"/>
      <c r="L11" s="336"/>
      <c r="M11" s="336"/>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R11" s="38"/>
    </row>
    <row r="12" spans="2:44">
      <c r="B12" s="4"/>
      <c r="C12" s="4"/>
      <c r="D12" s="4"/>
      <c r="E12" s="423"/>
      <c r="F12" s="423"/>
      <c r="G12" s="423"/>
      <c r="H12" s="423"/>
      <c r="I12" s="248"/>
      <c r="J12" s="35"/>
      <c r="K12" s="35"/>
    </row>
    <row r="13" spans="2:44" ht="15" thickBot="1">
      <c r="B13" s="233" t="s">
        <v>53</v>
      </c>
      <c r="C13" s="226"/>
      <c r="D13" s="226"/>
      <c r="E13" s="226"/>
      <c r="F13" s="226"/>
      <c r="G13" s="226"/>
      <c r="H13" s="226"/>
      <c r="I13" s="244"/>
    </row>
    <row r="14" spans="2:44">
      <c r="B14" s="430" t="s">
        <v>54</v>
      </c>
      <c r="C14" s="431"/>
      <c r="D14" s="431"/>
      <c r="E14" s="391">
        <v>2</v>
      </c>
      <c r="F14" s="391"/>
      <c r="G14" s="391"/>
      <c r="H14" s="392"/>
      <c r="I14" s="244"/>
      <c r="J14" s="4"/>
    </row>
    <row r="15" spans="2:44">
      <c r="B15" s="388" t="s">
        <v>55</v>
      </c>
      <c r="C15" s="389"/>
      <c r="D15" s="389"/>
      <c r="E15" s="389"/>
      <c r="F15" s="389"/>
      <c r="G15" s="389"/>
      <c r="H15" s="390"/>
      <c r="I15" s="244"/>
    </row>
    <row r="16" spans="2:44">
      <c r="B16" s="386" t="s">
        <v>56</v>
      </c>
      <c r="C16" s="381"/>
      <c r="D16" s="381"/>
      <c r="E16" s="395" t="s">
        <v>57</v>
      </c>
      <c r="F16" s="396"/>
      <c r="G16" s="396"/>
      <c r="H16" s="397"/>
      <c r="I16" s="244"/>
      <c r="J16" s="4"/>
      <c r="M16" s="19"/>
    </row>
    <row r="17" spans="2:13">
      <c r="B17" s="386" t="s">
        <v>58</v>
      </c>
      <c r="C17" s="381"/>
      <c r="D17" s="381"/>
      <c r="E17" s="393" t="s">
        <v>59</v>
      </c>
      <c r="F17" s="393"/>
      <c r="G17" s="393"/>
      <c r="H17" s="394"/>
      <c r="I17" s="244"/>
      <c r="J17" s="4"/>
    </row>
    <row r="18" spans="2:13" ht="15" customHeight="1" thickBot="1">
      <c r="B18" s="432" t="s">
        <v>60</v>
      </c>
      <c r="C18" s="433"/>
      <c r="D18" s="433"/>
      <c r="E18" s="426" t="s">
        <v>61</v>
      </c>
      <c r="F18" s="426"/>
      <c r="G18" s="426"/>
      <c r="H18" s="427"/>
      <c r="I18" s="244"/>
      <c r="J18" s="4"/>
    </row>
    <row r="19" spans="2:13" ht="15" customHeight="1">
      <c r="I19" s="39"/>
    </row>
    <row r="20" spans="2:13" ht="15" thickBot="1">
      <c r="B20" s="233" t="s">
        <v>62</v>
      </c>
      <c r="C20" s="226"/>
      <c r="D20" s="226"/>
      <c r="E20" s="226"/>
      <c r="F20" s="226"/>
      <c r="G20" s="226"/>
      <c r="H20" s="226"/>
      <c r="I20" s="244"/>
      <c r="J20" s="4"/>
    </row>
    <row r="21" spans="2:13" ht="15" thickBot="1">
      <c r="B21" s="428" t="s">
        <v>55</v>
      </c>
      <c r="C21" s="429"/>
      <c r="D21" s="429"/>
      <c r="E21" s="424">
        <v>1</v>
      </c>
      <c r="F21" s="424"/>
      <c r="G21" s="424"/>
      <c r="H21" s="425"/>
      <c r="I21" s="244"/>
      <c r="J21" s="4"/>
    </row>
    <row r="22" spans="2:13" ht="20.45">
      <c r="B22" s="387" t="s">
        <v>63</v>
      </c>
      <c r="C22" s="384"/>
      <c r="D22" s="148" t="s">
        <v>64</v>
      </c>
      <c r="E22" s="200">
        <v>372.35</v>
      </c>
      <c r="F22" s="384" t="s">
        <v>65</v>
      </c>
      <c r="G22" s="384"/>
      <c r="H22" s="385"/>
      <c r="I22" s="245"/>
      <c r="J22" s="107"/>
      <c r="K22" s="106"/>
    </row>
    <row r="23" spans="2:13" ht="20.45" hidden="1">
      <c r="B23" s="386" t="s">
        <v>66</v>
      </c>
      <c r="C23" s="381"/>
      <c r="D23" s="197" t="s">
        <v>67</v>
      </c>
      <c r="E23" s="156">
        <v>55.85</v>
      </c>
      <c r="F23" s="381" t="s">
        <v>65</v>
      </c>
      <c r="G23" s="381"/>
      <c r="H23" s="382"/>
      <c r="I23" s="245"/>
      <c r="J23" s="107"/>
      <c r="K23" s="106"/>
    </row>
    <row r="24" spans="2:13" ht="21" hidden="1" thickBot="1">
      <c r="B24" s="379" t="s">
        <v>68</v>
      </c>
      <c r="C24" s="380"/>
      <c r="D24" s="249" t="s">
        <v>69</v>
      </c>
      <c r="E24" s="345">
        <v>39.72</v>
      </c>
      <c r="F24" s="381" t="s">
        <v>65</v>
      </c>
      <c r="G24" s="381"/>
      <c r="H24" s="382"/>
      <c r="I24" s="245"/>
      <c r="J24" s="107"/>
      <c r="K24" s="106"/>
    </row>
    <row r="25" spans="2:13" ht="21" thickBot="1">
      <c r="B25" s="407" t="s">
        <v>70</v>
      </c>
      <c r="C25" s="403"/>
      <c r="D25" s="249" t="s">
        <v>71</v>
      </c>
      <c r="E25" s="250">
        <v>264.79000000000002</v>
      </c>
      <c r="F25" s="403" t="s">
        <v>65</v>
      </c>
      <c r="G25" s="403"/>
      <c r="H25" s="404"/>
      <c r="I25" s="246" t="s">
        <v>72</v>
      </c>
      <c r="J25" s="107"/>
      <c r="K25" s="106"/>
    </row>
    <row r="26" spans="2:13">
      <c r="B26" s="107"/>
      <c r="C26" s="107"/>
      <c r="D26" s="107"/>
      <c r="E26" s="107"/>
      <c r="F26" s="107"/>
      <c r="G26" s="107"/>
      <c r="H26" s="107"/>
      <c r="I26" s="245"/>
      <c r="J26" s="107"/>
      <c r="K26" s="106"/>
    </row>
    <row r="27" spans="2:13" ht="15" thickBot="1">
      <c r="B27" s="233" t="s">
        <v>73</v>
      </c>
      <c r="C27" s="226"/>
      <c r="D27" s="226"/>
      <c r="E27" s="226"/>
      <c r="F27" s="226"/>
      <c r="G27" s="226"/>
      <c r="H27" s="226"/>
      <c r="I27" s="245"/>
      <c r="J27" s="107"/>
    </row>
    <row r="28" spans="2:13">
      <c r="B28" s="410" t="s">
        <v>74</v>
      </c>
      <c r="C28" s="411"/>
      <c r="D28" s="411"/>
      <c r="E28" s="412">
        <v>1</v>
      </c>
      <c r="F28" s="412"/>
      <c r="G28" s="412"/>
      <c r="H28" s="413"/>
      <c r="I28" s="245"/>
      <c r="J28" s="107"/>
      <c r="K28" s="106"/>
    </row>
    <row r="29" spans="2:13" ht="15.6">
      <c r="B29" s="386" t="s">
        <v>75</v>
      </c>
      <c r="C29" s="381"/>
      <c r="D29" s="198" t="s">
        <v>76</v>
      </c>
      <c r="E29" s="156">
        <v>55</v>
      </c>
      <c r="F29" s="381" t="s">
        <v>77</v>
      </c>
      <c r="G29" s="381"/>
      <c r="H29" s="382"/>
      <c r="I29" s="435" t="s">
        <v>78</v>
      </c>
      <c r="J29" s="436"/>
      <c r="K29" s="436"/>
      <c r="L29" s="436"/>
      <c r="M29" s="436"/>
    </row>
    <row r="30" spans="2:13" ht="22.5" customHeight="1">
      <c r="B30" s="386" t="s">
        <v>79</v>
      </c>
      <c r="C30" s="381"/>
      <c r="D30" s="197" t="s">
        <v>80</v>
      </c>
      <c r="E30" s="196">
        <v>48.7</v>
      </c>
      <c r="F30" s="381" t="s">
        <v>77</v>
      </c>
      <c r="G30" s="381"/>
      <c r="H30" s="382"/>
      <c r="I30" s="408" t="s">
        <v>81</v>
      </c>
      <c r="J30" s="409"/>
      <c r="K30" s="409"/>
    </row>
    <row r="31" spans="2:13" ht="15.6">
      <c r="B31" s="386" t="s">
        <v>82</v>
      </c>
      <c r="C31" s="381"/>
      <c r="D31" s="198" t="s">
        <v>83</v>
      </c>
      <c r="E31" s="156">
        <v>3.1</v>
      </c>
      <c r="F31" s="381" t="s">
        <v>77</v>
      </c>
      <c r="G31" s="381"/>
      <c r="H31" s="382"/>
      <c r="I31" s="245"/>
      <c r="J31" s="107"/>
      <c r="K31" s="106"/>
    </row>
    <row r="32" spans="2:13" ht="15.6">
      <c r="B32" s="386" t="s">
        <v>84</v>
      </c>
      <c r="C32" s="381"/>
      <c r="D32" s="198"/>
      <c r="E32" s="156">
        <v>6</v>
      </c>
      <c r="F32" s="381" t="s">
        <v>77</v>
      </c>
      <c r="G32" s="381"/>
      <c r="H32" s="382"/>
      <c r="I32" s="405" t="s">
        <v>85</v>
      </c>
      <c r="J32" s="406"/>
      <c r="K32" s="406"/>
    </row>
    <row r="33" spans="2:14" ht="15.6">
      <c r="B33" s="386" t="s">
        <v>86</v>
      </c>
      <c r="C33" s="381"/>
      <c r="D33" s="198" t="s">
        <v>87</v>
      </c>
      <c r="E33" s="225">
        <v>25</v>
      </c>
      <c r="F33" s="381" t="s">
        <v>77</v>
      </c>
      <c r="G33" s="381"/>
      <c r="H33" s="382"/>
      <c r="I33" s="245"/>
      <c r="J33" s="107"/>
      <c r="K33" s="106"/>
    </row>
    <row r="34" spans="2:14" ht="20.45" hidden="1">
      <c r="B34" s="387" t="s">
        <v>88</v>
      </c>
      <c r="C34" s="384"/>
      <c r="D34" s="148" t="s">
        <v>89</v>
      </c>
      <c r="E34" s="225">
        <v>260</v>
      </c>
      <c r="F34" s="384" t="s">
        <v>77</v>
      </c>
      <c r="G34" s="384"/>
      <c r="H34" s="385"/>
      <c r="I34" s="245"/>
      <c r="J34" s="107"/>
      <c r="K34" s="106"/>
    </row>
    <row r="35" spans="2:14" ht="21" hidden="1" thickBot="1">
      <c r="B35" s="407" t="s">
        <v>90</v>
      </c>
      <c r="C35" s="403"/>
      <c r="D35" s="249" t="s">
        <v>91</v>
      </c>
      <c r="E35" s="251">
        <v>16</v>
      </c>
      <c r="F35" s="403" t="s">
        <v>77</v>
      </c>
      <c r="G35" s="403"/>
      <c r="H35" s="404"/>
      <c r="I35" s="245"/>
      <c r="J35" s="107"/>
      <c r="K35" s="106"/>
    </row>
    <row r="36" spans="2:14">
      <c r="B36" s="107"/>
      <c r="C36" s="107"/>
      <c r="D36" s="107"/>
      <c r="E36" s="107"/>
      <c r="F36" s="107"/>
      <c r="G36" s="107"/>
      <c r="H36" s="107"/>
      <c r="I36" s="245"/>
      <c r="J36" s="107"/>
      <c r="K36" s="106"/>
    </row>
    <row r="37" spans="2:14" ht="15" thickBot="1">
      <c r="B37" s="234" t="s">
        <v>92</v>
      </c>
      <c r="C37" s="227"/>
      <c r="D37" s="227"/>
      <c r="E37" s="227"/>
      <c r="F37" s="227"/>
      <c r="G37" s="227"/>
      <c r="H37" s="227"/>
      <c r="I37" s="244"/>
      <c r="J37" s="4"/>
    </row>
    <row r="38" spans="2:14">
      <c r="B38" s="400" t="s">
        <v>93</v>
      </c>
      <c r="C38" s="401"/>
      <c r="D38" s="401"/>
      <c r="E38" s="401"/>
      <c r="F38" s="401"/>
      <c r="G38" s="401"/>
      <c r="H38" s="402"/>
      <c r="I38" s="244"/>
      <c r="J38" s="4"/>
    </row>
    <row r="39" spans="2:14" ht="48.6" customHeight="1" thickBot="1">
      <c r="B39" s="450" t="s">
        <v>94</v>
      </c>
      <c r="C39" s="418"/>
      <c r="D39" s="147" t="s">
        <v>95</v>
      </c>
      <c r="E39" s="105">
        <v>20</v>
      </c>
      <c r="F39" s="418" t="s">
        <v>96</v>
      </c>
      <c r="G39" s="418"/>
      <c r="H39" s="419"/>
      <c r="I39" s="398" t="s">
        <v>97</v>
      </c>
      <c r="J39" s="399"/>
      <c r="K39" s="399"/>
    </row>
    <row r="40" spans="2:14">
      <c r="B40" s="420" t="s">
        <v>98</v>
      </c>
      <c r="C40" s="421"/>
      <c r="D40" s="421"/>
      <c r="E40" s="421"/>
      <c r="F40" s="421"/>
      <c r="G40" s="421"/>
      <c r="H40" s="422"/>
      <c r="I40" s="244"/>
      <c r="J40" s="4"/>
    </row>
    <row r="41" spans="2:14" ht="20.45">
      <c r="B41" s="386" t="s">
        <v>99</v>
      </c>
      <c r="C41" s="381"/>
      <c r="D41" s="197" t="s">
        <v>100</v>
      </c>
      <c r="E41" s="195">
        <v>500</v>
      </c>
      <c r="F41" s="381" t="s">
        <v>96</v>
      </c>
      <c r="G41" s="381"/>
      <c r="H41" s="382"/>
      <c r="I41" s="244"/>
      <c r="J41" s="4"/>
    </row>
    <row r="42" spans="2:14">
      <c r="B42" s="386" t="s">
        <v>101</v>
      </c>
      <c r="C42" s="381"/>
      <c r="D42" s="381"/>
      <c r="E42" s="416">
        <v>2</v>
      </c>
      <c r="F42" s="416"/>
      <c r="G42" s="416"/>
      <c r="H42" s="417"/>
      <c r="I42" s="244"/>
      <c r="J42" s="4"/>
    </row>
    <row r="43" spans="2:14">
      <c r="B43" s="458" t="s">
        <v>102</v>
      </c>
      <c r="C43" s="459"/>
      <c r="D43" s="459"/>
      <c r="E43" s="416" t="s">
        <v>103</v>
      </c>
      <c r="F43" s="416"/>
      <c r="G43" s="416"/>
      <c r="H43" s="417"/>
      <c r="I43" s="244"/>
      <c r="J43" s="4"/>
    </row>
    <row r="44" spans="2:14" ht="28.5" customHeight="1">
      <c r="B44" s="456" t="s">
        <v>104</v>
      </c>
      <c r="C44" s="457"/>
      <c r="D44" s="457"/>
      <c r="E44" s="414" t="s">
        <v>105</v>
      </c>
      <c r="F44" s="414"/>
      <c r="G44" s="414"/>
      <c r="H44" s="415"/>
      <c r="I44" s="39"/>
      <c r="J44" s="4"/>
    </row>
    <row r="45" spans="2:14" ht="18" customHeight="1">
      <c r="B45" s="438" t="s">
        <v>106</v>
      </c>
      <c r="C45" s="439"/>
      <c r="D45" s="440"/>
      <c r="E45" s="453" t="s">
        <v>107</v>
      </c>
      <c r="F45" s="454"/>
      <c r="G45" s="454"/>
      <c r="H45" s="455"/>
      <c r="I45" s="441" t="s">
        <v>108</v>
      </c>
      <c r="J45" s="442"/>
      <c r="K45" s="443"/>
      <c r="L45" s="434" t="s">
        <v>109</v>
      </c>
      <c r="M45" s="399"/>
      <c r="N45" s="399"/>
    </row>
    <row r="46" spans="2:14" ht="14.45" customHeight="1">
      <c r="B46" s="462" t="str">
        <f>IF(E45="Donné directement","αe choisi","φ(∞,t0)")</f>
        <v>αe choisi</v>
      </c>
      <c r="C46" s="463"/>
      <c r="D46" s="149" t="str">
        <f>IF(E45="Donné directement","","coefficient de fluage du béton")</f>
        <v/>
      </c>
      <c r="E46" s="416">
        <v>15</v>
      </c>
      <c r="F46" s="416"/>
      <c r="G46" s="416"/>
      <c r="H46" s="417"/>
      <c r="I46" s="444"/>
      <c r="J46" s="445"/>
      <c r="K46" s="446"/>
      <c r="L46" s="434"/>
      <c r="M46" s="399"/>
      <c r="N46" s="399"/>
    </row>
    <row r="47" spans="2:14" ht="21" thickBot="1">
      <c r="B47" s="460" t="s">
        <v>110</v>
      </c>
      <c r="C47" s="461"/>
      <c r="D47" s="249" t="s">
        <v>111</v>
      </c>
      <c r="E47" s="451">
        <f>IF(E45="Donné directement",donnée,Es/(Ecm/(1+donnée)))</f>
        <v>15</v>
      </c>
      <c r="F47" s="451"/>
      <c r="G47" s="451"/>
      <c r="H47" s="452"/>
      <c r="I47" s="447"/>
      <c r="J47" s="448"/>
      <c r="K47" s="449"/>
      <c r="L47" s="434"/>
      <c r="M47" s="399"/>
      <c r="N47" s="399"/>
    </row>
    <row r="48" spans="2:14" ht="18">
      <c r="C48" s="4"/>
      <c r="D48" s="4"/>
      <c r="E48" s="4"/>
      <c r="F48" s="14"/>
      <c r="G48" s="99"/>
      <c r="H48" s="99"/>
      <c r="I48" s="247"/>
      <c r="J48" s="99"/>
      <c r="N48" s="12"/>
    </row>
    <row r="49" spans="1:14" ht="18">
      <c r="I49" s="247"/>
      <c r="J49" s="99"/>
      <c r="N49" s="12"/>
    </row>
    <row r="50" spans="1:14" ht="30.75" customHeight="1">
      <c r="A50" s="104"/>
      <c r="I50" s="39"/>
      <c r="N50" s="12"/>
    </row>
    <row r="51" spans="1:14" ht="18">
      <c r="A51" s="104"/>
      <c r="I51" s="39"/>
      <c r="N51" s="12"/>
    </row>
    <row r="52" spans="1:14" ht="18">
      <c r="A52" s="104"/>
      <c r="I52" s="39"/>
      <c r="N52" s="12"/>
    </row>
    <row r="53" spans="1:14" ht="18">
      <c r="A53" s="104"/>
      <c r="I53" s="39"/>
      <c r="K53" s="99"/>
      <c r="L53" s="99"/>
      <c r="M53" s="99"/>
      <c r="N53" s="12"/>
    </row>
    <row r="54" spans="1:14" ht="18">
      <c r="A54" s="104"/>
      <c r="I54" s="39"/>
      <c r="K54" s="99"/>
      <c r="L54" s="99"/>
      <c r="M54" s="99"/>
      <c r="N54" s="12"/>
    </row>
    <row r="55" spans="1:14" ht="18">
      <c r="A55" s="104"/>
      <c r="I55" s="39"/>
      <c r="K55" s="99"/>
      <c r="L55" s="99"/>
      <c r="M55" s="99"/>
      <c r="N55" s="12"/>
    </row>
    <row r="56" spans="1:14" ht="18">
      <c r="A56" s="104"/>
      <c r="I56" s="39"/>
      <c r="K56" s="99"/>
      <c r="L56" s="99"/>
      <c r="M56" s="99"/>
      <c r="N56" s="12"/>
    </row>
    <row r="57" spans="1:14" ht="18">
      <c r="A57" s="104"/>
      <c r="I57" s="39"/>
      <c r="K57" s="99"/>
      <c r="L57" s="99"/>
      <c r="M57" s="99"/>
      <c r="N57" s="12"/>
    </row>
    <row r="58" spans="1:14" ht="18">
      <c r="A58" s="104"/>
      <c r="I58" s="39"/>
      <c r="K58" s="99"/>
      <c r="L58" s="99"/>
      <c r="M58" s="99"/>
      <c r="N58" s="12"/>
    </row>
    <row r="59" spans="1:14" ht="18">
      <c r="A59" s="104"/>
      <c r="I59" s="39"/>
      <c r="K59" s="99"/>
      <c r="L59" s="99"/>
      <c r="M59" s="99"/>
      <c r="N59" s="12"/>
    </row>
    <row r="60" spans="1:14" ht="18">
      <c r="A60" s="104"/>
      <c r="I60" s="39"/>
      <c r="K60" s="99"/>
      <c r="L60" s="99"/>
      <c r="M60" s="99"/>
      <c r="N60" s="12"/>
    </row>
    <row r="61" spans="1:14" ht="18">
      <c r="A61" s="104"/>
      <c r="I61" s="39"/>
      <c r="K61" s="99"/>
      <c r="L61" s="99"/>
      <c r="M61" s="99"/>
      <c r="N61" s="12"/>
    </row>
    <row r="62" spans="1:14" ht="18">
      <c r="A62" s="104"/>
      <c r="I62" s="39"/>
      <c r="K62" s="99"/>
      <c r="L62" s="99"/>
      <c r="M62" s="99"/>
      <c r="N62" s="12"/>
    </row>
    <row r="63" spans="1:14" ht="18">
      <c r="A63" s="104"/>
      <c r="I63" s="39"/>
      <c r="K63" s="99"/>
      <c r="L63" s="99"/>
      <c r="M63" s="99"/>
      <c r="N63" s="12"/>
    </row>
    <row r="64" spans="1:14" ht="18">
      <c r="A64" s="104"/>
      <c r="I64" s="39"/>
      <c r="K64" s="99"/>
      <c r="L64" s="99"/>
      <c r="M64" s="99"/>
      <c r="N64" s="12"/>
    </row>
    <row r="65" spans="1:14" ht="18">
      <c r="A65" s="104"/>
      <c r="I65" s="39"/>
      <c r="K65" s="99"/>
      <c r="L65" s="99"/>
      <c r="M65" s="99"/>
      <c r="N65" s="12"/>
    </row>
    <row r="66" spans="1:14" ht="18">
      <c r="A66" s="104"/>
      <c r="I66" s="39"/>
      <c r="K66" s="99"/>
      <c r="L66" s="99"/>
      <c r="M66" s="99"/>
      <c r="N66" s="12"/>
    </row>
    <row r="67" spans="1:14" ht="18">
      <c r="A67" s="104"/>
      <c r="I67" s="39"/>
      <c r="K67" s="99"/>
      <c r="L67" s="99"/>
      <c r="M67" s="99"/>
      <c r="N67" s="12"/>
    </row>
    <row r="68" spans="1:14">
      <c r="A68" s="104"/>
      <c r="I68" s="39"/>
      <c r="K68" s="4"/>
      <c r="L68" s="4"/>
      <c r="M68" s="4"/>
    </row>
    <row r="69" spans="1:14">
      <c r="A69" s="104"/>
      <c r="I69" s="39"/>
      <c r="K69" s="4"/>
      <c r="L69" s="4"/>
      <c r="M69" s="4"/>
    </row>
    <row r="70" spans="1:14">
      <c r="A70" s="104"/>
      <c r="I70" s="39"/>
      <c r="K70" s="4"/>
      <c r="L70" s="4"/>
      <c r="M70" s="4"/>
    </row>
    <row r="71" spans="1:14">
      <c r="A71" s="104"/>
      <c r="I71" s="39"/>
      <c r="K71" s="4"/>
      <c r="L71" s="4"/>
      <c r="M71" s="4"/>
    </row>
    <row r="72" spans="1:14">
      <c r="A72" s="104"/>
      <c r="I72" s="39"/>
      <c r="K72" s="4"/>
      <c r="L72" s="4"/>
      <c r="M72" s="4"/>
    </row>
    <row r="73" spans="1:14" ht="18" customHeight="1">
      <c r="A73" s="104"/>
      <c r="I73" s="39"/>
      <c r="K73" s="4"/>
      <c r="L73" s="4"/>
      <c r="M73" s="4"/>
    </row>
    <row r="74" spans="1:14" ht="18" customHeight="1">
      <c r="A74" s="104"/>
      <c r="I74" s="39"/>
      <c r="K74" s="4"/>
      <c r="L74" s="4"/>
      <c r="M74" s="4"/>
    </row>
    <row r="75" spans="1:14" ht="18" customHeight="1">
      <c r="A75" s="104"/>
      <c r="I75" s="39"/>
      <c r="K75" s="4"/>
      <c r="L75" s="4"/>
      <c r="M75" s="4"/>
    </row>
    <row r="76" spans="1:14" ht="18.75" customHeight="1">
      <c r="A76" s="104"/>
      <c r="K76" s="4"/>
      <c r="L76" s="4"/>
      <c r="M76" s="4"/>
    </row>
    <row r="77" spans="1:14">
      <c r="A77" s="104"/>
      <c r="K77" s="4"/>
      <c r="L77" s="4"/>
      <c r="M77" s="4"/>
    </row>
    <row r="78" spans="1:14">
      <c r="A78" s="104"/>
      <c r="K78" s="4"/>
      <c r="L78" s="4"/>
      <c r="M78" s="4"/>
    </row>
    <row r="79" spans="1:14">
      <c r="A79" s="104"/>
      <c r="K79" s="4"/>
      <c r="L79" s="4"/>
      <c r="M79" s="4"/>
    </row>
    <row r="80" spans="1:14">
      <c r="A80" s="104"/>
      <c r="K80" s="4"/>
      <c r="L80" s="4"/>
      <c r="M80" s="4"/>
    </row>
    <row r="81" spans="1:13">
      <c r="A81" s="104"/>
      <c r="K81" s="4"/>
      <c r="L81" s="4"/>
      <c r="M81" s="4"/>
    </row>
    <row r="82" spans="1:13">
      <c r="A82" s="104"/>
      <c r="K82" s="4"/>
      <c r="L82" s="4"/>
      <c r="M82" s="4"/>
    </row>
    <row r="83" spans="1:13">
      <c r="A83" s="104"/>
      <c r="K83" s="4"/>
      <c r="L83" s="4"/>
      <c r="M83" s="4"/>
    </row>
    <row r="84" spans="1:13">
      <c r="A84" s="104"/>
      <c r="K84" s="4"/>
      <c r="L84" s="4"/>
      <c r="M84" s="4"/>
    </row>
    <row r="85" spans="1:13">
      <c r="A85" s="104"/>
      <c r="K85" s="4"/>
      <c r="L85" s="4"/>
      <c r="M85" s="4"/>
    </row>
    <row r="86" spans="1:13">
      <c r="A86" s="104"/>
      <c r="K86" s="4"/>
      <c r="L86" s="4"/>
      <c r="M86" s="4"/>
    </row>
    <row r="87" spans="1:13" ht="18.75" customHeight="1">
      <c r="A87" s="104"/>
      <c r="K87" s="4"/>
      <c r="L87" s="4"/>
      <c r="M87" s="4"/>
    </row>
    <row r="88" spans="1:13" ht="30.75" customHeight="1">
      <c r="A88" s="104"/>
      <c r="K88" s="4"/>
      <c r="L88" s="4"/>
      <c r="M88" s="4"/>
    </row>
    <row r="89" spans="1:13">
      <c r="A89" s="104"/>
      <c r="K89" s="4"/>
      <c r="L89" s="4"/>
      <c r="M89" s="4"/>
    </row>
    <row r="90" spans="1:13">
      <c r="A90" s="104"/>
      <c r="K90" s="4"/>
      <c r="L90" s="4"/>
      <c r="M90" s="4"/>
    </row>
    <row r="91" spans="1:13">
      <c r="A91" s="104"/>
      <c r="K91" s="4"/>
      <c r="L91" s="4"/>
      <c r="M91" s="4"/>
    </row>
    <row r="92" spans="1:13">
      <c r="A92" s="104"/>
      <c r="K92" s="4"/>
      <c r="L92" s="4"/>
      <c r="M92" s="4"/>
    </row>
    <row r="93" spans="1:13" ht="33.75" customHeight="1">
      <c r="A93" s="104"/>
      <c r="K93" s="4"/>
      <c r="L93" s="4"/>
      <c r="M93" s="4"/>
    </row>
    <row r="94" spans="1:13" ht="29.25" hidden="1" customHeight="1" thickBot="1">
      <c r="A94" s="104"/>
      <c r="K94" s="4"/>
      <c r="L94" s="4"/>
      <c r="M94" s="4"/>
    </row>
    <row r="95" spans="1:13">
      <c r="A95" s="104"/>
      <c r="K95" s="4"/>
      <c r="L95" s="4"/>
      <c r="M95" s="4"/>
    </row>
    <row r="96" spans="1:13" hidden="1">
      <c r="A96" s="104"/>
      <c r="K96" s="4"/>
      <c r="L96" s="4"/>
      <c r="M96" s="4"/>
    </row>
    <row r="97" spans="1:13">
      <c r="A97" s="104"/>
      <c r="K97" s="4"/>
      <c r="L97" s="4"/>
      <c r="M97" s="4"/>
    </row>
    <row r="98" spans="1:13">
      <c r="A98" s="104"/>
      <c r="K98" s="4"/>
      <c r="L98" s="4"/>
      <c r="M98" s="4"/>
    </row>
    <row r="99" spans="1:13">
      <c r="A99" s="104"/>
      <c r="K99" s="4"/>
      <c r="L99" s="4"/>
      <c r="M99" s="4"/>
    </row>
    <row r="100" spans="1:13">
      <c r="A100" s="104"/>
      <c r="K100" s="4"/>
      <c r="L100" s="4"/>
      <c r="M100" s="4"/>
    </row>
  </sheetData>
  <mergeCells count="62">
    <mergeCell ref="L45:N47"/>
    <mergeCell ref="I29:M29"/>
    <mergeCell ref="K7:M10"/>
    <mergeCell ref="B45:D45"/>
    <mergeCell ref="I45:K47"/>
    <mergeCell ref="B39:C39"/>
    <mergeCell ref="B33:C33"/>
    <mergeCell ref="E47:H47"/>
    <mergeCell ref="E46:H46"/>
    <mergeCell ref="E45:H45"/>
    <mergeCell ref="B44:D44"/>
    <mergeCell ref="B43:D43"/>
    <mergeCell ref="B47:C47"/>
    <mergeCell ref="B46:C46"/>
    <mergeCell ref="B42:D42"/>
    <mergeCell ref="B17:D17"/>
    <mergeCell ref="B16:D16"/>
    <mergeCell ref="E12:H12"/>
    <mergeCell ref="E21:H21"/>
    <mergeCell ref="E18:H18"/>
    <mergeCell ref="B21:D21"/>
    <mergeCell ref="B14:D14"/>
    <mergeCell ref="B18:D18"/>
    <mergeCell ref="E44:H44"/>
    <mergeCell ref="E43:H43"/>
    <mergeCell ref="E42:H42"/>
    <mergeCell ref="F41:H41"/>
    <mergeCell ref="F39:H39"/>
    <mergeCell ref="B40:H40"/>
    <mergeCell ref="B41:C41"/>
    <mergeCell ref="I39:K39"/>
    <mergeCell ref="B38:H38"/>
    <mergeCell ref="F25:H25"/>
    <mergeCell ref="B29:C29"/>
    <mergeCell ref="B32:C32"/>
    <mergeCell ref="B34:C34"/>
    <mergeCell ref="F30:H30"/>
    <mergeCell ref="F35:H35"/>
    <mergeCell ref="I32:K32"/>
    <mergeCell ref="B35:C35"/>
    <mergeCell ref="I30:K30"/>
    <mergeCell ref="B30:C30"/>
    <mergeCell ref="B25:C25"/>
    <mergeCell ref="B28:D28"/>
    <mergeCell ref="E28:H28"/>
    <mergeCell ref="F29:H29"/>
    <mergeCell ref="B24:C24"/>
    <mergeCell ref="F24:H24"/>
    <mergeCell ref="B7:H7"/>
    <mergeCell ref="F31:H31"/>
    <mergeCell ref="F34:H34"/>
    <mergeCell ref="F32:H32"/>
    <mergeCell ref="F33:H33"/>
    <mergeCell ref="B31:C31"/>
    <mergeCell ref="B23:C23"/>
    <mergeCell ref="B22:C22"/>
    <mergeCell ref="B15:H15"/>
    <mergeCell ref="F23:H23"/>
    <mergeCell ref="F22:H22"/>
    <mergeCell ref="E14:H14"/>
    <mergeCell ref="E17:H17"/>
    <mergeCell ref="E16:H16"/>
  </mergeCells>
  <dataValidations disablePrompts="1" count="5">
    <dataValidation type="list" allowBlank="1" showInputMessage="1" showErrorMessage="1" sqref="E43" xr:uid="{00000000-0002-0000-0200-000000000000}">
      <formula1>Clductil</formula1>
    </dataValidation>
    <dataValidation type="list" allowBlank="1" showInputMessage="1" showErrorMessage="1" sqref="E17" xr:uid="{00000000-0002-0000-0200-000001000000}">
      <formula1>expo</formula1>
    </dataValidation>
    <dataValidation type="list" allowBlank="1" showInputMessage="1" showErrorMessage="1" sqref="E18 E44" xr:uid="{00000000-0002-0000-0200-000002000000}">
      <formula1>OuiNon</formula1>
    </dataValidation>
    <dataValidation type="list" allowBlank="1" showInputMessage="1" showErrorMessage="1" sqref="E16" xr:uid="{00000000-0002-0000-0200-000003000000}">
      <formula1>CombiELU</formula1>
    </dataValidation>
    <dataValidation type="list" allowBlank="1" showInputMessage="1" showErrorMessage="1" sqref="E45:H45" xr:uid="{00000000-0002-0000-0200-000004000000}">
      <formula1>choixalphae</formula1>
    </dataValidation>
  </dataValidations>
  <printOptions horizontalCentered="1" verticalCentered="1"/>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91" r:id="rId4" name="Drop Down 119">
              <controlPr defaultSize="0" autoLine="0" autoPict="0" macro="[0]!Disparitions_lignes_poutretravee">
                <anchor moveWithCells="1">
                  <from>
                    <xdr:col>4</xdr:col>
                    <xdr:colOff>403860</xdr:colOff>
                    <xdr:row>13</xdr:row>
                    <xdr:rowOff>7620</xdr:rowOff>
                  </from>
                  <to>
                    <xdr:col>7</xdr:col>
                    <xdr:colOff>388620</xdr:colOff>
                    <xdr:row>14</xdr:row>
                    <xdr:rowOff>0</xdr:rowOff>
                  </to>
                </anchor>
              </controlPr>
            </control>
          </mc:Choice>
        </mc:AlternateContent>
        <mc:AlternateContent xmlns:mc="http://schemas.openxmlformats.org/markup-compatibility/2006">
          <mc:Choice Requires="x14">
            <control shapeId="3193" r:id="rId5" name="Drop Down 121">
              <controlPr defaultSize="0" autoLine="0" autoPict="0" macro="[0]!Disparitions_lignes_sectionté">
                <anchor moveWithCells="1">
                  <from>
                    <xdr:col>5</xdr:col>
                    <xdr:colOff>144780</xdr:colOff>
                    <xdr:row>27</xdr:row>
                    <xdr:rowOff>0</xdr:rowOff>
                  </from>
                  <to>
                    <xdr:col>7</xdr:col>
                    <xdr:colOff>198120</xdr:colOff>
                    <xdr:row>28</xdr:row>
                    <xdr:rowOff>0</xdr:rowOff>
                  </to>
                </anchor>
              </controlPr>
            </control>
          </mc:Choice>
        </mc:AlternateContent>
        <mc:AlternateContent xmlns:mc="http://schemas.openxmlformats.org/markup-compatibility/2006">
          <mc:Choice Requires="x14">
            <control shapeId="3205" r:id="rId6" name="Drop Down 133">
              <controlPr defaultSize="0" autoLine="0" autoPict="0" macro="[0]!Disparitions_ClDuctilité_TyPalier">
                <anchor moveWithCells="1">
                  <from>
                    <xdr:col>4</xdr:col>
                    <xdr:colOff>640080</xdr:colOff>
                    <xdr:row>41</xdr:row>
                    <xdr:rowOff>0</xdr:rowOff>
                  </from>
                  <to>
                    <xdr:col>7</xdr:col>
                    <xdr:colOff>228600</xdr:colOff>
                    <xdr:row>42</xdr:row>
                    <xdr:rowOff>0</xdr:rowOff>
                  </to>
                </anchor>
              </controlPr>
            </control>
          </mc:Choice>
        </mc:AlternateContent>
        <mc:AlternateContent xmlns:mc="http://schemas.openxmlformats.org/markup-compatibility/2006">
          <mc:Choice Requires="x14">
            <control shapeId="3223" r:id="rId7" name="Drop Down 151">
              <controlPr defaultSize="0" autoLine="0" autoPict="0" macro="[0]!Disparitations_qp_k">
                <anchor moveWithCells="1">
                  <from>
                    <xdr:col>4</xdr:col>
                    <xdr:colOff>685800</xdr:colOff>
                    <xdr:row>20</xdr:row>
                    <xdr:rowOff>0</xdr:rowOff>
                  </from>
                  <to>
                    <xdr:col>7</xdr:col>
                    <xdr:colOff>739140</xdr:colOff>
                    <xdr:row>21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9">
    <pageSetUpPr fitToPage="1"/>
  </sheetPr>
  <dimension ref="B1:T87"/>
  <sheetViews>
    <sheetView zoomScale="85" zoomScaleNormal="85" zoomScaleSheetLayoutView="55" zoomScalePageLayoutView="70" workbookViewId="0">
      <selection activeCell="H11" sqref="H11"/>
    </sheetView>
  </sheetViews>
  <sheetFormatPr defaultColWidth="11.42578125" defaultRowHeight="14.45"/>
  <cols>
    <col min="1" max="1" width="10.7109375" customWidth="1"/>
    <col min="2" max="2" width="6.7109375" bestFit="1" customWidth="1"/>
    <col min="3" max="3" width="7.28515625" bestFit="1" customWidth="1"/>
    <col min="4" max="4" width="18.7109375" customWidth="1"/>
    <col min="5" max="5" width="14.28515625" customWidth="1"/>
    <col min="6" max="6" width="12.42578125" customWidth="1"/>
    <col min="7" max="7" width="8.140625" customWidth="1"/>
    <col min="8" max="8" width="16.7109375" customWidth="1"/>
    <col min="9" max="9" width="2" bestFit="1" customWidth="1"/>
    <col min="10" max="10" width="8.5703125" bestFit="1" customWidth="1"/>
    <col min="13" max="13" width="43.28515625" bestFit="1" customWidth="1"/>
    <col min="14" max="14" width="10.5703125" bestFit="1" customWidth="1"/>
    <col min="16" max="16" width="30.28515625" bestFit="1" customWidth="1"/>
    <col min="19" max="19" width="18.140625" customWidth="1"/>
  </cols>
  <sheetData>
    <row r="1" spans="2:19">
      <c r="B1" s="106"/>
      <c r="C1" s="106"/>
      <c r="D1" s="106"/>
      <c r="E1" s="106"/>
      <c r="F1" s="106"/>
      <c r="G1" s="106"/>
      <c r="H1" s="106"/>
    </row>
    <row r="2" spans="2:19">
      <c r="B2" s="106"/>
      <c r="C2" s="106"/>
      <c r="D2" s="106"/>
      <c r="E2" s="106"/>
      <c r="F2" s="106"/>
      <c r="G2" s="106"/>
      <c r="H2" s="106"/>
      <c r="I2" s="4"/>
      <c r="J2" s="4"/>
      <c r="K2" s="4"/>
      <c r="L2" s="4"/>
      <c r="M2" s="4"/>
    </row>
    <row r="3" spans="2:19">
      <c r="B3" s="106"/>
      <c r="C3" s="106"/>
      <c r="D3" s="106"/>
      <c r="E3" s="106"/>
      <c r="F3" s="106"/>
      <c r="G3" s="106"/>
      <c r="H3" s="106"/>
    </row>
    <row r="4" spans="2:19" ht="15.6">
      <c r="B4" s="512"/>
      <c r="C4" s="512"/>
      <c r="D4" s="512"/>
      <c r="E4" s="511"/>
      <c r="F4" s="511"/>
      <c r="G4" s="511"/>
      <c r="H4" s="511"/>
      <c r="I4" s="4"/>
      <c r="J4" s="4"/>
      <c r="K4" s="4"/>
      <c r="L4" s="4"/>
    </row>
    <row r="5" spans="2:19" ht="23.45">
      <c r="B5" s="383" t="s">
        <v>47</v>
      </c>
      <c r="C5" s="383"/>
      <c r="D5" s="383"/>
      <c r="E5" s="383"/>
      <c r="F5" s="383"/>
      <c r="G5" s="383"/>
      <c r="H5" s="383"/>
      <c r="I5" s="4"/>
      <c r="J5" s="4"/>
      <c r="K5" s="4"/>
      <c r="L5" s="4"/>
    </row>
    <row r="6" spans="2:19">
      <c r="F6" s="19"/>
      <c r="G6" s="19"/>
      <c r="H6" s="19"/>
      <c r="I6" s="4"/>
      <c r="J6" s="4"/>
      <c r="K6" s="4"/>
      <c r="L6" s="4"/>
    </row>
    <row r="7" spans="2:19">
      <c r="B7" s="228" t="s">
        <v>49</v>
      </c>
      <c r="C7" s="19"/>
      <c r="E7" s="229"/>
      <c r="F7" s="19"/>
      <c r="G7" s="19"/>
      <c r="H7" s="19"/>
      <c r="I7" s="4"/>
      <c r="J7" s="4"/>
      <c r="K7" s="4"/>
      <c r="L7" s="4"/>
    </row>
    <row r="8" spans="2:19">
      <c r="B8" s="230" t="s">
        <v>50</v>
      </c>
      <c r="C8" s="19"/>
      <c r="F8" s="19"/>
      <c r="G8" s="19"/>
      <c r="H8" s="19"/>
      <c r="I8" s="4"/>
      <c r="J8" s="4"/>
      <c r="K8" s="4"/>
      <c r="L8" s="4"/>
    </row>
    <row r="9" spans="2:19" ht="16.149999999999999" thickBot="1">
      <c r="B9" s="231" t="s">
        <v>51</v>
      </c>
      <c r="C9" s="231" t="s">
        <v>52</v>
      </c>
      <c r="D9" s="232"/>
      <c r="E9" s="232"/>
      <c r="F9" s="224"/>
      <c r="G9" s="224"/>
      <c r="H9" s="224"/>
      <c r="I9" s="4"/>
      <c r="J9" s="4"/>
      <c r="K9" s="4"/>
      <c r="L9" s="4"/>
    </row>
    <row r="10" spans="2:19" ht="15" customHeight="1" thickBot="1">
      <c r="J10" s="255"/>
      <c r="K10" s="255"/>
      <c r="L10" s="255"/>
      <c r="M10" s="492" t="s">
        <v>48</v>
      </c>
      <c r="N10" s="493"/>
      <c r="O10" s="493"/>
      <c r="P10" s="493"/>
      <c r="Q10" s="493"/>
      <c r="R10" s="493"/>
      <c r="S10" s="494"/>
    </row>
    <row r="11" spans="2:19" ht="16.149999999999999" thickBot="1">
      <c r="B11" s="243" t="s">
        <v>112</v>
      </c>
      <c r="C11" s="237"/>
      <c r="D11" s="237"/>
      <c r="E11" s="237"/>
      <c r="F11" s="237"/>
      <c r="G11" s="237"/>
      <c r="H11" s="237"/>
      <c r="I11" s="101"/>
      <c r="J11" s="101"/>
      <c r="M11" s="188"/>
      <c r="N11" s="35"/>
      <c r="O11" s="35"/>
      <c r="Q11" s="35"/>
      <c r="R11" s="35"/>
      <c r="S11" s="48"/>
    </row>
    <row r="12" spans="2:19" ht="20.45">
      <c r="B12" s="515" t="s">
        <v>113</v>
      </c>
      <c r="C12" s="516"/>
      <c r="D12" s="235" t="s">
        <v>114</v>
      </c>
      <c r="E12" s="236">
        <f>zc_t</f>
        <v>43.196514265626284</v>
      </c>
      <c r="F12" s="513" t="s">
        <v>77</v>
      </c>
      <c r="G12" s="513"/>
      <c r="H12" s="514"/>
      <c r="I12" s="101"/>
      <c r="J12" s="101"/>
      <c r="M12" s="39"/>
      <c r="S12" s="37"/>
    </row>
    <row r="13" spans="2:19" ht="19.5" customHeight="1">
      <c r="B13" s="502" t="s">
        <v>115</v>
      </c>
      <c r="C13" s="503"/>
      <c r="D13" s="503"/>
      <c r="E13" s="504" t="str">
        <f>AcComprimést</f>
        <v>requis</v>
      </c>
      <c r="F13" s="504"/>
      <c r="G13" s="504"/>
      <c r="H13" s="505"/>
      <c r="I13" s="100"/>
      <c r="M13" s="39"/>
      <c r="S13" s="37"/>
    </row>
    <row r="14" spans="2:19" ht="18.75" customHeight="1">
      <c r="B14" s="506" t="s">
        <v>116</v>
      </c>
      <c r="C14" s="495"/>
      <c r="D14" s="495"/>
      <c r="E14" s="159">
        <f>As2t</f>
        <v>24.663111596273033</v>
      </c>
      <c r="F14" s="495" t="s">
        <v>117</v>
      </c>
      <c r="G14" s="495"/>
      <c r="H14" s="496"/>
      <c r="I14" s="102"/>
      <c r="M14" s="39"/>
      <c r="S14" s="37"/>
    </row>
    <row r="15" spans="2:19" ht="15" thickBot="1">
      <c r="B15" s="502" t="s">
        <v>118</v>
      </c>
      <c r="C15" s="495"/>
      <c r="D15" s="495"/>
      <c r="E15" s="495"/>
      <c r="F15" s="495"/>
      <c r="G15" s="495"/>
      <c r="H15" s="496"/>
      <c r="I15" s="102"/>
      <c r="M15" s="39"/>
      <c r="S15" s="37"/>
    </row>
    <row r="16" spans="2:19" ht="19.5" customHeight="1" thickBot="1">
      <c r="B16" s="80" t="s">
        <v>119</v>
      </c>
      <c r="C16" s="67">
        <f>Asmin</f>
        <v>1.5827500000000001</v>
      </c>
      <c r="D16" s="21" t="str">
        <f>IF(C16&gt;F16,"&gt;","≤")</f>
        <v>≤</v>
      </c>
      <c r="E16" s="21" t="s">
        <v>120</v>
      </c>
      <c r="F16" s="67">
        <f>As1u_test_t</f>
        <v>21.362329906364458</v>
      </c>
      <c r="G16" s="499" t="s">
        <v>121</v>
      </c>
      <c r="H16" s="500"/>
      <c r="I16" s="265" t="str">
        <f>IF(As1u_test_t&gt;Asmax,"&gt;","≤")</f>
        <v>≤</v>
      </c>
      <c r="J16" s="262" t="s">
        <v>122</v>
      </c>
      <c r="K16" s="263">
        <f>Asmax</f>
        <v>55</v>
      </c>
      <c r="M16" s="39"/>
      <c r="S16" s="37"/>
    </row>
    <row r="17" spans="2:19" ht="19.5" customHeight="1" thickBot="1">
      <c r="B17" s="497" t="str">
        <f>IF(Asmin&gt;As1u_test_t,"└&gt; As1,retenu=Asmin","└&gt; As1,retenu")</f>
        <v>└&gt; As1,retenu</v>
      </c>
      <c r="C17" s="498"/>
      <c r="D17" s="498"/>
      <c r="E17" s="162">
        <f>IF(D16="&gt;",Asmin,As1u_test_t)</f>
        <v>21.362329906364458</v>
      </c>
      <c r="F17" s="498" t="s">
        <v>117</v>
      </c>
      <c r="G17" s="498"/>
      <c r="H17" s="501"/>
      <c r="I17" s="4"/>
      <c r="J17" s="4"/>
      <c r="K17" s="4"/>
      <c r="L17" s="37"/>
      <c r="S17" s="37"/>
    </row>
    <row r="18" spans="2:19" ht="18.75" hidden="1" customHeight="1">
      <c r="I18" s="151"/>
      <c r="J18" s="4"/>
      <c r="K18" s="4"/>
      <c r="L18" s="37"/>
      <c r="S18" s="37"/>
    </row>
    <row r="19" spans="2:19" ht="18.75" hidden="1" customHeight="1" thickBot="1">
      <c r="B19" s="243" t="s">
        <v>123</v>
      </c>
      <c r="C19" s="237"/>
      <c r="D19" s="237"/>
      <c r="E19" s="237"/>
      <c r="F19" s="237"/>
      <c r="G19" s="237"/>
      <c r="H19" s="237"/>
      <c r="I19" s="152"/>
      <c r="J19" s="152"/>
      <c r="K19" s="4"/>
      <c r="L19" s="37"/>
      <c r="S19" s="37"/>
    </row>
    <row r="20" spans="2:19" ht="18.75" hidden="1" customHeight="1">
      <c r="B20" s="515" t="s">
        <v>113</v>
      </c>
      <c r="C20" s="516"/>
      <c r="D20" s="235" t="s">
        <v>114</v>
      </c>
      <c r="E20" s="236">
        <f>zc_a</f>
        <v>47.1604690876799</v>
      </c>
      <c r="F20" s="513" t="s">
        <v>77</v>
      </c>
      <c r="G20" s="513"/>
      <c r="H20" s="514"/>
      <c r="I20" s="152"/>
      <c r="J20" s="152"/>
      <c r="K20" s="4"/>
      <c r="L20" s="37"/>
      <c r="S20" s="37"/>
    </row>
    <row r="21" spans="2:19" ht="19.5" hidden="1" customHeight="1">
      <c r="B21" s="502" t="s">
        <v>115</v>
      </c>
      <c r="C21" s="503"/>
      <c r="D21" s="503"/>
      <c r="E21" s="504" t="str">
        <f>AcComprimésa</f>
        <v>non requis</v>
      </c>
      <c r="F21" s="504"/>
      <c r="G21" s="504"/>
      <c r="H21" s="505"/>
      <c r="I21" s="107"/>
      <c r="J21" s="4"/>
      <c r="K21" s="4"/>
      <c r="L21" s="37"/>
      <c r="S21" s="37"/>
    </row>
    <row r="22" spans="2:19" ht="18.75" hidden="1" customHeight="1">
      <c r="B22" s="506" t="s">
        <v>116</v>
      </c>
      <c r="C22" s="495"/>
      <c r="D22" s="495"/>
      <c r="E22" s="159">
        <f>As2a</f>
        <v>0</v>
      </c>
      <c r="F22" s="495" t="s">
        <v>117</v>
      </c>
      <c r="G22" s="495"/>
      <c r="H22" s="496"/>
      <c r="I22" s="151"/>
      <c r="J22" s="4"/>
      <c r="K22" s="4"/>
      <c r="L22" s="37"/>
      <c r="S22" s="37"/>
    </row>
    <row r="23" spans="2:19" ht="15" hidden="1" thickBot="1">
      <c r="B23" s="502" t="s">
        <v>118</v>
      </c>
      <c r="C23" s="495"/>
      <c r="D23" s="495"/>
      <c r="E23" s="495"/>
      <c r="F23" s="495"/>
      <c r="G23" s="495"/>
      <c r="H23" s="496"/>
      <c r="I23" s="151"/>
      <c r="J23" s="4"/>
      <c r="K23" s="4"/>
      <c r="M23" s="39"/>
      <c r="S23" s="37"/>
    </row>
    <row r="24" spans="2:19" ht="19.5" hidden="1" customHeight="1" thickBot="1">
      <c r="B24" s="80" t="s">
        <v>119</v>
      </c>
      <c r="C24" s="67">
        <f>Asmin</f>
        <v>1.5827500000000001</v>
      </c>
      <c r="D24" s="21" t="str">
        <f>IF(C24&gt;F24,"&gt;","≤")</f>
        <v>≤</v>
      </c>
      <c r="E24" s="21" t="s">
        <v>120</v>
      </c>
      <c r="F24" s="67">
        <f>As1u_test_a</f>
        <v>2.2677214747759336</v>
      </c>
      <c r="G24" s="499" t="s">
        <v>121</v>
      </c>
      <c r="H24" s="500"/>
      <c r="I24" s="265" t="str">
        <f>IF(As1u_test_t&gt;Asmax,"&gt;","≤")</f>
        <v>≤</v>
      </c>
      <c r="J24" s="262" t="s">
        <v>122</v>
      </c>
      <c r="K24" s="264">
        <f>Asmax</f>
        <v>55</v>
      </c>
      <c r="M24" s="39"/>
      <c r="S24" s="37"/>
    </row>
    <row r="25" spans="2:19" ht="16.899999999999999" hidden="1" thickBot="1">
      <c r="B25" s="497" t="str">
        <f>IF(Asmin&gt;As1u_test_a,"└&gt; As1,retenu=Asmin","└&gt; As1,retenu")</f>
        <v>└&gt; As1,retenu</v>
      </c>
      <c r="C25" s="498"/>
      <c r="D25" s="498"/>
      <c r="E25" s="160">
        <f>IF(D24="&gt;",Asmin,As1u_test_a)</f>
        <v>2.2677214747759336</v>
      </c>
      <c r="F25" s="498" t="s">
        <v>117</v>
      </c>
      <c r="G25" s="498"/>
      <c r="H25" s="501"/>
      <c r="M25" s="257" t="s">
        <v>38</v>
      </c>
      <c r="S25" s="37"/>
    </row>
    <row r="26" spans="2:19" ht="18">
      <c r="B26" s="106"/>
      <c r="C26" s="106"/>
      <c r="D26" s="107"/>
      <c r="E26" s="107"/>
      <c r="F26" s="107"/>
      <c r="G26" s="109"/>
      <c r="H26" s="108"/>
      <c r="M26" s="258" t="s">
        <v>39</v>
      </c>
      <c r="S26" s="37"/>
    </row>
    <row r="27" spans="2:19" ht="16.149999999999999" thickBot="1">
      <c r="B27" s="243" t="s">
        <v>124</v>
      </c>
      <c r="C27" s="237"/>
      <c r="D27" s="237"/>
      <c r="E27" s="237"/>
      <c r="F27" s="237"/>
      <c r="G27" s="237"/>
      <c r="H27" s="237"/>
      <c r="M27" s="259" t="s">
        <v>40</v>
      </c>
      <c r="S27" s="37"/>
    </row>
    <row r="28" spans="2:19" ht="14.25" customHeight="1">
      <c r="B28" s="508" t="s">
        <v>125</v>
      </c>
      <c r="C28" s="509"/>
      <c r="D28" s="509"/>
      <c r="E28" s="509">
        <v>3</v>
      </c>
      <c r="F28" s="509"/>
      <c r="G28" s="509"/>
      <c r="H28" s="510"/>
      <c r="M28" s="260" t="s">
        <v>41</v>
      </c>
      <c r="S28" s="37"/>
    </row>
    <row r="29" spans="2:19">
      <c r="B29" s="488" t="s">
        <v>126</v>
      </c>
      <c r="C29" s="489"/>
      <c r="D29" s="489"/>
      <c r="E29" s="393">
        <v>1</v>
      </c>
      <c r="F29" s="393"/>
      <c r="G29" s="393"/>
      <c r="H29" s="394"/>
      <c r="M29" s="490" t="s">
        <v>127</v>
      </c>
      <c r="S29" s="37"/>
    </row>
    <row r="30" spans="2:19" ht="31.15" customHeight="1" thickBot="1">
      <c r="B30" s="488" t="s">
        <v>128</v>
      </c>
      <c r="C30" s="489"/>
      <c r="D30" s="465" t="s">
        <v>129</v>
      </c>
      <c r="E30" s="196">
        <v>10</v>
      </c>
      <c r="F30" s="489"/>
      <c r="G30" s="489"/>
      <c r="H30" s="507"/>
      <c r="M30" s="491"/>
      <c r="S30" s="37"/>
    </row>
    <row r="31" spans="2:19" ht="15.6">
      <c r="B31" s="486" t="s">
        <v>130</v>
      </c>
      <c r="C31" s="487"/>
      <c r="D31" s="466"/>
      <c r="E31" s="196">
        <v>14</v>
      </c>
      <c r="F31" s="489" t="s">
        <v>131</v>
      </c>
      <c r="G31" s="489"/>
      <c r="H31" s="507"/>
      <c r="L31" s="37"/>
      <c r="S31" s="37"/>
    </row>
    <row r="32" spans="2:19" ht="15.6" hidden="1">
      <c r="B32" s="488" t="s">
        <v>132</v>
      </c>
      <c r="C32" s="489"/>
      <c r="D32" s="465" t="s">
        <v>133</v>
      </c>
      <c r="E32" s="196">
        <v>3</v>
      </c>
      <c r="F32" s="489"/>
      <c r="G32" s="489"/>
      <c r="H32" s="507"/>
      <c r="L32" s="37"/>
      <c r="S32" s="37"/>
    </row>
    <row r="33" spans="2:20" ht="15.6" hidden="1">
      <c r="B33" s="486" t="s">
        <v>134</v>
      </c>
      <c r="C33" s="487"/>
      <c r="D33" s="466"/>
      <c r="E33" s="196">
        <v>18</v>
      </c>
      <c r="F33" s="489" t="s">
        <v>131</v>
      </c>
      <c r="G33" s="489"/>
      <c r="H33" s="507"/>
      <c r="M33" s="39"/>
      <c r="S33" s="37"/>
    </row>
    <row r="34" spans="2:20" ht="15.6" hidden="1">
      <c r="B34" s="488" t="s">
        <v>135</v>
      </c>
      <c r="C34" s="489"/>
      <c r="D34" s="465" t="s">
        <v>136</v>
      </c>
      <c r="E34" s="196">
        <v>3</v>
      </c>
      <c r="F34" s="489"/>
      <c r="G34" s="489"/>
      <c r="H34" s="507"/>
      <c r="M34" s="39"/>
      <c r="S34" s="37"/>
    </row>
    <row r="35" spans="2:20" ht="15.6" hidden="1">
      <c r="B35" s="486" t="s">
        <v>137</v>
      </c>
      <c r="C35" s="487"/>
      <c r="D35" s="466"/>
      <c r="E35" s="196">
        <v>16</v>
      </c>
      <c r="F35" s="489" t="s">
        <v>131</v>
      </c>
      <c r="G35" s="489"/>
      <c r="H35" s="507"/>
      <c r="M35" s="39"/>
      <c r="S35" s="37"/>
    </row>
    <row r="36" spans="2:20" ht="21" thickBot="1">
      <c r="B36" s="484" t="s">
        <v>138</v>
      </c>
      <c r="C36" s="485"/>
      <c r="D36" s="154" t="s">
        <v>139</v>
      </c>
      <c r="E36" s="155">
        <f>PI()/4*IF(Nbr_lits=1,n_1*(phi_1*0.1)^2,IF(Nbr_lits=2,n_1*(phi_1*0.1)^2+n_2*(phi_2*0.1)^2,n_1*(phi_1*0.1)^2+n_2*(phi_2*0.1)^2+n_3*(phi_3*0.1)^2))</f>
        <v>15.39380400258999</v>
      </c>
      <c r="F36" s="517" t="s">
        <v>117</v>
      </c>
      <c r="G36" s="517"/>
      <c r="H36" s="518"/>
      <c r="M36" s="39"/>
      <c r="S36" s="37"/>
    </row>
    <row r="37" spans="2:20">
      <c r="B37" s="519" t="s">
        <v>140</v>
      </c>
      <c r="C37" s="520"/>
      <c r="D37" s="520"/>
      <c r="E37" s="416">
        <v>2</v>
      </c>
      <c r="F37" s="416"/>
      <c r="G37" s="416"/>
      <c r="H37" s="417"/>
      <c r="M37" s="39"/>
      <c r="S37" s="37"/>
    </row>
    <row r="38" spans="2:20" ht="15.6" hidden="1">
      <c r="B38" s="488" t="s">
        <v>141</v>
      </c>
      <c r="C38" s="489"/>
      <c r="D38" s="467" t="s">
        <v>142</v>
      </c>
      <c r="E38" s="196">
        <v>7</v>
      </c>
      <c r="F38" s="521"/>
      <c r="G38" s="521"/>
      <c r="H38" s="522"/>
      <c r="M38" s="39"/>
      <c r="S38" s="37"/>
    </row>
    <row r="39" spans="2:20" ht="33" hidden="1" customHeight="1">
      <c r="B39" s="486" t="s">
        <v>143</v>
      </c>
      <c r="C39" s="487"/>
      <c r="D39" s="468"/>
      <c r="E39" s="196">
        <v>25</v>
      </c>
      <c r="F39" s="489" t="s">
        <v>131</v>
      </c>
      <c r="G39" s="489"/>
      <c r="H39" s="507"/>
      <c r="M39" s="39"/>
      <c r="S39" s="37"/>
    </row>
    <row r="40" spans="2:20" ht="16.899999999999999" hidden="1" thickBot="1">
      <c r="B40" s="484" t="s">
        <v>116</v>
      </c>
      <c r="C40" s="485"/>
      <c r="D40" s="524"/>
      <c r="E40" s="110">
        <f>IF(E37=1,n_21*PI()*(0.1*phi_21)^2/4,0)</f>
        <v>0</v>
      </c>
      <c r="F40" s="479" t="s">
        <v>117</v>
      </c>
      <c r="G40" s="479"/>
      <c r="H40" s="525"/>
      <c r="M40" s="39"/>
      <c r="S40" s="37"/>
    </row>
    <row r="41" spans="2:20" ht="22.5" customHeight="1">
      <c r="B41" s="529" t="s">
        <v>144</v>
      </c>
      <c r="C41" s="530"/>
      <c r="D41" s="530"/>
      <c r="E41" s="111">
        <v>4</v>
      </c>
      <c r="F41" s="540" t="s">
        <v>77</v>
      </c>
      <c r="G41" s="540"/>
      <c r="H41" s="541"/>
      <c r="J41" s="252"/>
      <c r="K41" s="252"/>
      <c r="L41" s="252"/>
      <c r="M41" s="253" t="s">
        <v>145</v>
      </c>
      <c r="S41" s="37"/>
    </row>
    <row r="42" spans="2:20">
      <c r="B42" s="488" t="s">
        <v>146</v>
      </c>
      <c r="C42" s="489"/>
      <c r="D42" s="489"/>
      <c r="E42" s="150">
        <f>amin</f>
        <v>2</v>
      </c>
      <c r="F42" s="489" t="s">
        <v>77</v>
      </c>
      <c r="G42" s="489"/>
      <c r="H42" s="507"/>
      <c r="M42" s="39"/>
      <c r="S42" s="37"/>
    </row>
    <row r="43" spans="2:20" ht="15" thickBot="1">
      <c r="B43" s="482" t="s">
        <v>147</v>
      </c>
      <c r="C43" s="483"/>
      <c r="D43" s="483"/>
      <c r="E43" s="542" t="str">
        <f>IF(espacement&gt;=amin,"Oui","Non, valeur trop faible")</f>
        <v>Oui</v>
      </c>
      <c r="F43" s="543"/>
      <c r="G43" s="543"/>
      <c r="H43" s="544"/>
      <c r="M43" s="39"/>
      <c r="S43" s="37"/>
    </row>
    <row r="44" spans="2:20" ht="31.5" customHeight="1">
      <c r="B44" s="526" t="s">
        <v>148</v>
      </c>
      <c r="C44" s="527"/>
      <c r="D44" s="528"/>
      <c r="E44" s="531">
        <v>1</v>
      </c>
      <c r="F44" s="531"/>
      <c r="G44" s="531"/>
      <c r="H44" s="532"/>
      <c r="J44" s="256"/>
      <c r="K44" s="256"/>
      <c r="L44" s="256"/>
      <c r="M44" s="435" t="s">
        <v>149</v>
      </c>
      <c r="N44" s="436"/>
      <c r="O44" s="436"/>
      <c r="P44" s="436"/>
      <c r="Q44" s="436"/>
      <c r="R44" s="436"/>
      <c r="S44" s="539"/>
      <c r="T44" s="256"/>
    </row>
    <row r="45" spans="2:20" ht="15.6">
      <c r="B45" s="488" t="s">
        <v>150</v>
      </c>
      <c r="C45" s="489"/>
      <c r="D45" s="489"/>
      <c r="E45" s="196">
        <v>0.5</v>
      </c>
      <c r="F45" s="489" t="s">
        <v>131</v>
      </c>
      <c r="G45" s="489"/>
      <c r="H45" s="507"/>
      <c r="M45" s="39"/>
      <c r="S45" s="37"/>
    </row>
    <row r="46" spans="2:20" ht="21" thickBot="1">
      <c r="B46" s="460" t="s">
        <v>151</v>
      </c>
      <c r="C46" s="523"/>
      <c r="D46" s="266" t="s">
        <v>152</v>
      </c>
      <c r="E46" s="267">
        <f>wkmax</f>
        <v>0.2</v>
      </c>
      <c r="F46" s="533" t="s">
        <v>131</v>
      </c>
      <c r="G46" s="533"/>
      <c r="H46" s="534"/>
      <c r="M46" s="39"/>
      <c r="S46" s="37"/>
    </row>
    <row r="47" spans="2:20">
      <c r="M47" s="39"/>
      <c r="S47" s="37"/>
    </row>
    <row r="48" spans="2:20" ht="16.149999999999999" thickBot="1">
      <c r="B48" s="464" t="s">
        <v>153</v>
      </c>
      <c r="C48" s="464"/>
      <c r="D48" s="464"/>
      <c r="E48" s="464"/>
      <c r="F48" s="464"/>
      <c r="G48" s="464"/>
      <c r="H48" s="464"/>
      <c r="M48" s="39"/>
      <c r="S48" s="37"/>
    </row>
    <row r="49" spans="2:19" ht="30.75" customHeight="1">
      <c r="B49" s="472" t="s">
        <v>154</v>
      </c>
      <c r="C49" s="473"/>
      <c r="D49" s="473"/>
      <c r="E49" s="474" t="str">
        <f>'Vérification ELS'!SectELS</f>
        <v>Fissurée</v>
      </c>
      <c r="F49" s="474"/>
      <c r="G49" s="474"/>
      <c r="H49" s="475"/>
      <c r="M49" s="261"/>
      <c r="S49" s="37"/>
    </row>
    <row r="50" spans="2:19" ht="32.25" hidden="1" customHeight="1">
      <c r="B50" s="476" t="s">
        <v>155</v>
      </c>
      <c r="C50" s="477"/>
      <c r="D50" s="477"/>
      <c r="E50" s="393" t="s">
        <v>61</v>
      </c>
      <c r="F50" s="393"/>
      <c r="G50" s="393"/>
      <c r="H50" s="478"/>
      <c r="J50" s="256"/>
      <c r="K50" s="256"/>
      <c r="L50" s="256"/>
      <c r="M50" s="435" t="s">
        <v>156</v>
      </c>
      <c r="N50" s="436"/>
      <c r="O50" s="436"/>
      <c r="P50" s="436"/>
      <c r="S50" s="37"/>
    </row>
    <row r="51" spans="2:19" ht="20.45">
      <c r="B51" s="536" t="s">
        <v>157</v>
      </c>
      <c r="C51" s="537"/>
      <c r="D51" s="158" t="s">
        <v>158</v>
      </c>
      <c r="E51" s="67">
        <f>xun</f>
        <v>22.14719762397241</v>
      </c>
      <c r="F51" s="503" t="s">
        <v>77</v>
      </c>
      <c r="G51" s="503"/>
      <c r="H51" s="538"/>
      <c r="I51" s="161"/>
      <c r="J51" s="161"/>
      <c r="K51" s="161"/>
      <c r="L51" s="161"/>
      <c r="M51" s="254"/>
      <c r="S51" s="37"/>
    </row>
    <row r="52" spans="2:19" ht="32.25" customHeight="1">
      <c r="B52" s="481" t="s">
        <v>159</v>
      </c>
      <c r="C52" s="469"/>
      <c r="D52" s="535">
        <f>sigmac</f>
        <v>23.149290793905962</v>
      </c>
      <c r="E52" s="114" t="str">
        <f>IF(D52&lt;H52,"&lt;","&gt;")</f>
        <v>&gt;</v>
      </c>
      <c r="F52" s="469" t="s">
        <v>160</v>
      </c>
      <c r="G52" s="469"/>
      <c r="H52" s="169">
        <f>kdeux*fck</f>
        <v>9</v>
      </c>
      <c r="M52" s="39"/>
      <c r="S52" s="37"/>
    </row>
    <row r="53" spans="2:19" ht="16.149999999999999" hidden="1">
      <c r="B53" s="481"/>
      <c r="C53" s="469"/>
      <c r="D53" s="535"/>
      <c r="E53" s="114" t="str">
        <f>IF(D52&lt;H53,"&lt;","&gt;")</f>
        <v>&gt;</v>
      </c>
      <c r="F53" s="469" t="s">
        <v>161</v>
      </c>
      <c r="G53" s="469"/>
      <c r="H53" s="169">
        <f>kun*fck</f>
        <v>12</v>
      </c>
      <c r="M53" s="39"/>
      <c r="S53" s="37"/>
    </row>
    <row r="54" spans="2:19" ht="18.75" hidden="1" customHeight="1">
      <c r="B54" s="481" t="s">
        <v>162</v>
      </c>
      <c r="C54" s="469"/>
      <c r="D54" s="153">
        <f>sigmas2</f>
        <v>253.16713630130096</v>
      </c>
      <c r="E54" s="114" t="str">
        <f>IF(D54&lt;H54,"&lt;","&gt;")</f>
        <v>&lt;</v>
      </c>
      <c r="F54" s="469" t="s">
        <v>163</v>
      </c>
      <c r="G54" s="469"/>
      <c r="H54" s="470">
        <f>sigmasb</f>
        <v>400</v>
      </c>
      <c r="M54" s="39"/>
      <c r="S54" s="37"/>
    </row>
    <row r="55" spans="2:19" ht="16.149999999999999" thickBot="1">
      <c r="B55" s="480" t="s">
        <v>164</v>
      </c>
      <c r="C55" s="479"/>
      <c r="D55" s="168">
        <f>sigmas1</f>
        <v>416.31353593723571</v>
      </c>
      <c r="E55" s="115" t="str">
        <f>IF(D55&lt;H54,"&lt;","&gt;")</f>
        <v>&gt;</v>
      </c>
      <c r="F55" s="479"/>
      <c r="G55" s="479"/>
      <c r="H55" s="471"/>
      <c r="M55" s="39"/>
      <c r="S55" s="37"/>
    </row>
    <row r="56" spans="2:19">
      <c r="B56" s="107"/>
      <c r="C56" s="107"/>
      <c r="D56" s="107"/>
      <c r="E56" s="107"/>
      <c r="F56" s="107"/>
      <c r="G56" s="107"/>
      <c r="H56" s="107"/>
      <c r="I56" s="4"/>
      <c r="J56" s="4"/>
      <c r="M56" s="39"/>
      <c r="S56" s="37"/>
    </row>
    <row r="57" spans="2:19" ht="16.149999999999999" thickBot="1">
      <c r="B57" s="464" t="s">
        <v>165</v>
      </c>
      <c r="C57" s="464"/>
      <c r="D57" s="464"/>
      <c r="E57" s="464"/>
      <c r="F57" s="464"/>
      <c r="G57" s="464"/>
      <c r="H57" s="464"/>
      <c r="J57" s="4"/>
      <c r="M57" s="39"/>
      <c r="S57" s="37"/>
    </row>
    <row r="58" spans="2:19" ht="16.149999999999999" thickBot="1">
      <c r="B58" s="238" t="s">
        <v>166</v>
      </c>
      <c r="C58" s="239">
        <f>wk</f>
        <v>0.26301932726748339</v>
      </c>
      <c r="D58" s="240" t="s">
        <v>131</v>
      </c>
      <c r="E58" s="240" t="str">
        <f>IF(wk&lt;wkmax,"&lt;","&gt;")</f>
        <v>&gt;</v>
      </c>
      <c r="F58" s="240" t="s">
        <v>151</v>
      </c>
      <c r="G58" s="241">
        <f>wkmax</f>
        <v>0.2</v>
      </c>
      <c r="H58" s="242" t="s">
        <v>131</v>
      </c>
      <c r="J58" s="4"/>
      <c r="M58" s="190"/>
      <c r="N58" s="15"/>
      <c r="O58" s="15"/>
      <c r="P58" s="15"/>
      <c r="Q58" s="15"/>
      <c r="R58" s="15"/>
      <c r="S58" s="38"/>
    </row>
    <row r="83" hidden="1"/>
    <row r="87" hidden="1"/>
  </sheetData>
  <mergeCells count="84">
    <mergeCell ref="M44:S44"/>
    <mergeCell ref="M50:P50"/>
    <mergeCell ref="F52:G52"/>
    <mergeCell ref="F42:H42"/>
    <mergeCell ref="F41:H41"/>
    <mergeCell ref="E43:H43"/>
    <mergeCell ref="B52:C53"/>
    <mergeCell ref="D52:D53"/>
    <mergeCell ref="B48:H48"/>
    <mergeCell ref="B51:C51"/>
    <mergeCell ref="F51:H51"/>
    <mergeCell ref="B37:D37"/>
    <mergeCell ref="F39:H39"/>
    <mergeCell ref="F38:H38"/>
    <mergeCell ref="B45:D45"/>
    <mergeCell ref="B46:C46"/>
    <mergeCell ref="B40:D40"/>
    <mergeCell ref="F40:H40"/>
    <mergeCell ref="B44:D44"/>
    <mergeCell ref="B39:C39"/>
    <mergeCell ref="B38:C38"/>
    <mergeCell ref="E37:H37"/>
    <mergeCell ref="B42:D42"/>
    <mergeCell ref="B41:D41"/>
    <mergeCell ref="E44:H44"/>
    <mergeCell ref="F46:H46"/>
    <mergeCell ref="F45:H45"/>
    <mergeCell ref="F36:H36"/>
    <mergeCell ref="F34:H34"/>
    <mergeCell ref="F33:H33"/>
    <mergeCell ref="F32:H32"/>
    <mergeCell ref="F31:H31"/>
    <mergeCell ref="F35:H35"/>
    <mergeCell ref="B28:H28"/>
    <mergeCell ref="E4:H4"/>
    <mergeCell ref="B4:D4"/>
    <mergeCell ref="B5:H5"/>
    <mergeCell ref="E13:H13"/>
    <mergeCell ref="B13:D13"/>
    <mergeCell ref="F12:H12"/>
    <mergeCell ref="F20:H20"/>
    <mergeCell ref="B12:C12"/>
    <mergeCell ref="B20:C20"/>
    <mergeCell ref="B14:D14"/>
    <mergeCell ref="B15:H15"/>
    <mergeCell ref="M29:M30"/>
    <mergeCell ref="M10:S10"/>
    <mergeCell ref="F14:H14"/>
    <mergeCell ref="B17:D17"/>
    <mergeCell ref="G16:H16"/>
    <mergeCell ref="F17:H17"/>
    <mergeCell ref="B21:D21"/>
    <mergeCell ref="E21:H21"/>
    <mergeCell ref="B22:D22"/>
    <mergeCell ref="F22:H22"/>
    <mergeCell ref="G24:H24"/>
    <mergeCell ref="F30:H30"/>
    <mergeCell ref="E29:H29"/>
    <mergeCell ref="B23:H23"/>
    <mergeCell ref="B25:D25"/>
    <mergeCell ref="F25:H25"/>
    <mergeCell ref="B35:C35"/>
    <mergeCell ref="B34:C34"/>
    <mergeCell ref="B29:D29"/>
    <mergeCell ref="B31:C31"/>
    <mergeCell ref="B30:C30"/>
    <mergeCell ref="B33:C33"/>
    <mergeCell ref="B32:C32"/>
    <mergeCell ref="B57:H57"/>
    <mergeCell ref="D30:D31"/>
    <mergeCell ref="D32:D33"/>
    <mergeCell ref="D34:D35"/>
    <mergeCell ref="D38:D39"/>
    <mergeCell ref="F53:G53"/>
    <mergeCell ref="H54:H55"/>
    <mergeCell ref="B49:D49"/>
    <mergeCell ref="E49:H49"/>
    <mergeCell ref="B50:D50"/>
    <mergeCell ref="E50:H50"/>
    <mergeCell ref="F54:G55"/>
    <mergeCell ref="B55:C55"/>
    <mergeCell ref="B54:C54"/>
    <mergeCell ref="B43:D43"/>
    <mergeCell ref="B36:C36"/>
  </mergeCells>
  <conditionalFormatting sqref="E58">
    <cfRule type="expression" dxfId="33" priority="35">
      <formula>$E$58&lt;&gt;"&lt;"</formula>
    </cfRule>
    <cfRule type="expression" dxfId="32" priority="36">
      <formula>$E$58="&lt;"</formula>
    </cfRule>
  </conditionalFormatting>
  <conditionalFormatting sqref="E53">
    <cfRule type="expression" dxfId="31" priority="33">
      <formula>$E$53&lt;&gt;"&lt;"</formula>
    </cfRule>
    <cfRule type="expression" dxfId="30" priority="34">
      <formula>$E$53="&lt;"</formula>
    </cfRule>
  </conditionalFormatting>
  <conditionalFormatting sqref="E54">
    <cfRule type="expression" dxfId="29" priority="31">
      <formula>$E$54&lt;&gt;"&lt;"</formula>
    </cfRule>
    <cfRule type="expression" dxfId="28" priority="32">
      <formula>$E$54="&lt;"</formula>
    </cfRule>
  </conditionalFormatting>
  <conditionalFormatting sqref="E55">
    <cfRule type="expression" dxfId="27" priority="29">
      <formula>$E$55&lt;&gt;"&lt;"</formula>
    </cfRule>
    <cfRule type="expression" dxfId="26" priority="30">
      <formula>$E$55="&lt;"</formula>
    </cfRule>
  </conditionalFormatting>
  <conditionalFormatting sqref="F54 H54">
    <cfRule type="expression" dxfId="25" priority="27">
      <formula>OR(AND(As2R=0,$E$80="&gt;"),AND(As2R&lt;&gt;0,OR($E$79="&gt;",$E$80="&gt;")))</formula>
    </cfRule>
    <cfRule type="expression" dxfId="24" priority="28">
      <formula>OR(AND(As2R=0,$E$80="&lt;"),AND(As2R&lt;&gt;0,AND($E$79="&lt;",$E$80="&lt;")))</formula>
    </cfRule>
  </conditionalFormatting>
  <conditionalFormatting sqref="E43">
    <cfRule type="expression" dxfId="23" priority="25">
      <formula>$E$43&lt;&gt;"Oui"</formula>
    </cfRule>
    <cfRule type="expression" dxfId="22" priority="26">
      <formula>$E$43="Oui"</formula>
    </cfRule>
  </conditionalFormatting>
  <conditionalFormatting sqref="J57">
    <cfRule type="expression" dxfId="21" priority="8">
      <formula>OR(ChxCombiELS="Caractéristique",M_ELS_trav=0)</formula>
    </cfRule>
  </conditionalFormatting>
  <conditionalFormatting sqref="J58">
    <cfRule type="expression" dxfId="20" priority="6">
      <formula>OR(ChxCombiELS="Caractéristique",M_ELS_trav=0)</formula>
    </cfRule>
  </conditionalFormatting>
  <conditionalFormatting sqref="E52">
    <cfRule type="expression" dxfId="19" priority="4">
      <formula>$E$52&lt;&gt;"&lt;"</formula>
    </cfRule>
    <cfRule type="expression" dxfId="18" priority="5">
      <formula>$E$52="&lt;"</formula>
    </cfRule>
  </conditionalFormatting>
  <conditionalFormatting sqref="D12">
    <cfRule type="expression" dxfId="17" priority="3">
      <formula>ChxCombiELS="Caractéristique"</formula>
    </cfRule>
  </conditionalFormatting>
  <conditionalFormatting sqref="D20">
    <cfRule type="expression" dxfId="16" priority="2">
      <formula>ChxCombiELS="Caractéristique"</formula>
    </cfRule>
  </conditionalFormatting>
  <conditionalFormatting sqref="D51">
    <cfRule type="expression" dxfId="15" priority="1">
      <formula>ChxCombiELS="Caractéristique"</formula>
    </cfRule>
  </conditionalFormatting>
  <dataValidations disablePrompts="1" count="1">
    <dataValidation type="list" allowBlank="1" showInputMessage="1" showErrorMessage="1" sqref="E50" xr:uid="{00000000-0002-0000-0300-000000000000}">
      <formula1>OuiNon</formula1>
    </dataValidation>
  </dataValidations>
  <printOptions horizontalCentered="1" verticalCentered="1"/>
  <pageMargins left="0.70866141732283472" right="0.70866141732283472" top="0.74803149606299213" bottom="0.74803149606299213" header="0.31496062992125984" footer="0.31496062992125984"/>
  <pageSetup paperSize="9"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6" r:id="rId4" name="Drop Down 4">
              <controlPr defaultSize="0" autoLine="0" autoPict="0" macro="[0]!Disparitions_lignes_Nbrlits">
                <anchor moveWithCells="1">
                  <from>
                    <xdr:col>5</xdr:col>
                    <xdr:colOff>426720</xdr:colOff>
                    <xdr:row>28</xdr:row>
                    <xdr:rowOff>7620</xdr:rowOff>
                  </from>
                  <to>
                    <xdr:col>6</xdr:col>
                    <xdr:colOff>175260</xdr:colOff>
                    <xdr:row>29</xdr:row>
                    <xdr:rowOff>7620</xdr:rowOff>
                  </to>
                </anchor>
              </controlPr>
            </control>
          </mc:Choice>
        </mc:AlternateContent>
        <mc:AlternateContent xmlns:mc="http://schemas.openxmlformats.org/markup-compatibility/2006">
          <mc:Choice Requires="x14">
            <control shapeId="13317" r:id="rId5" name="Drop Down 5">
              <controlPr defaultSize="0" autoLine="0" autoPict="0" macro="[0]!Disparitions_lignes_Chxwkmax">
                <anchor moveWithCells="1">
                  <from>
                    <xdr:col>4</xdr:col>
                    <xdr:colOff>533400</xdr:colOff>
                    <xdr:row>43</xdr:row>
                    <xdr:rowOff>83820</xdr:rowOff>
                  </from>
                  <to>
                    <xdr:col>7</xdr:col>
                    <xdr:colOff>426720</xdr:colOff>
                    <xdr:row>43</xdr:row>
                    <xdr:rowOff>289560</xdr:rowOff>
                  </to>
                </anchor>
              </controlPr>
            </control>
          </mc:Choice>
        </mc:AlternateContent>
        <mc:AlternateContent xmlns:mc="http://schemas.openxmlformats.org/markup-compatibility/2006">
          <mc:Choice Requires="x14">
            <control shapeId="13318" r:id="rId6" name="Button 6">
              <controlPr defaultSize="0" print="0" autoFill="0" autoPict="0" macro="[0]!Disparitions_lignes_Forcagefissuration">
                <anchor moveWithCells="1" sizeWithCells="1">
                  <from>
                    <xdr:col>12</xdr:col>
                    <xdr:colOff>45720</xdr:colOff>
                    <xdr:row>11</xdr:row>
                    <xdr:rowOff>22860</xdr:rowOff>
                  </from>
                  <to>
                    <xdr:col>12</xdr:col>
                    <xdr:colOff>1249680</xdr:colOff>
                    <xdr:row>12</xdr:row>
                    <xdr:rowOff>228600</xdr:rowOff>
                  </to>
                </anchor>
              </controlPr>
            </control>
          </mc:Choice>
        </mc:AlternateContent>
        <mc:AlternateContent xmlns:mc="http://schemas.openxmlformats.org/markup-compatibility/2006">
          <mc:Choice Requires="x14">
            <control shapeId="13325" r:id="rId7" name="Drop Down 13">
              <controlPr defaultSize="0" autoLine="0" autoPict="0" macro="[0]!Disparitions_lignes_As2R">
                <anchor moveWithCells="1">
                  <from>
                    <xdr:col>5</xdr:col>
                    <xdr:colOff>251460</xdr:colOff>
                    <xdr:row>36</xdr:row>
                    <xdr:rowOff>7620</xdr:rowOff>
                  </from>
                  <to>
                    <xdr:col>6</xdr:col>
                    <xdr:colOff>350520</xdr:colOff>
                    <xdr:row>37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pageSetUpPr fitToPage="1"/>
  </sheetPr>
  <dimension ref="B1:AI59"/>
  <sheetViews>
    <sheetView zoomScale="85" zoomScaleNormal="85" workbookViewId="0">
      <selection activeCell="O14" sqref="O14"/>
    </sheetView>
  </sheetViews>
  <sheetFormatPr defaultColWidth="11.42578125" defaultRowHeight="14.45"/>
  <cols>
    <col min="1" max="1" width="11.42578125" customWidth="1"/>
    <col min="2" max="2" width="15.28515625" bestFit="1" customWidth="1"/>
    <col min="3" max="3" width="4.85546875" bestFit="1" customWidth="1"/>
    <col min="4" max="4" width="8.42578125" bestFit="1" customWidth="1"/>
    <col min="5" max="5" width="22.7109375" customWidth="1"/>
    <col min="6" max="6" width="40.28515625" bestFit="1" customWidth="1"/>
    <col min="7" max="7" width="18.28515625" bestFit="1" customWidth="1"/>
    <col min="8" max="8" width="7.140625" bestFit="1" customWidth="1"/>
    <col min="9" max="9" width="8.5703125" bestFit="1" customWidth="1"/>
    <col min="10" max="10" width="8.42578125" customWidth="1"/>
    <col min="11" max="11" width="27.42578125" bestFit="1" customWidth="1"/>
    <col min="12" max="12" width="21.7109375" customWidth="1"/>
    <col min="13" max="13" width="23.5703125" bestFit="1" customWidth="1"/>
    <col min="14" max="14" width="13.140625" bestFit="1" customWidth="1"/>
    <col min="15" max="15" width="2.28515625" bestFit="1" customWidth="1"/>
    <col min="16" max="16" width="8.140625" bestFit="1" customWidth="1"/>
    <col min="17" max="17" width="32" bestFit="1" customWidth="1"/>
    <col min="18" max="18" width="4.7109375" bestFit="1" customWidth="1"/>
    <col min="19" max="19" width="30.85546875" bestFit="1" customWidth="1"/>
    <col min="20" max="20" width="11.140625" bestFit="1" customWidth="1"/>
    <col min="21" max="21" width="28.140625" bestFit="1" customWidth="1"/>
    <col min="22" max="22" width="2" bestFit="1" customWidth="1"/>
    <col min="23" max="23" width="15" bestFit="1" customWidth="1"/>
    <col min="24" max="24" width="19.140625" bestFit="1" customWidth="1"/>
    <col min="25" max="25" width="11" bestFit="1" customWidth="1"/>
    <col min="26" max="26" width="23.5703125" bestFit="1" customWidth="1"/>
    <col min="27" max="27" width="13.140625" bestFit="1" customWidth="1"/>
    <col min="30" max="30" width="32" bestFit="1" customWidth="1"/>
  </cols>
  <sheetData>
    <row r="1" spans="2:35" ht="30" thickBot="1">
      <c r="E1" s="15"/>
      <c r="S1" s="90" t="s">
        <v>167</v>
      </c>
      <c r="T1" s="46" t="s">
        <v>168</v>
      </c>
      <c r="U1" s="90" t="s">
        <v>169</v>
      </c>
      <c r="V1" s="90">
        <v>1</v>
      </c>
      <c r="W1" s="91" t="s">
        <v>170</v>
      </c>
      <c r="X1" s="90" t="s">
        <v>171</v>
      </c>
      <c r="Y1" s="34" t="s">
        <v>172</v>
      </c>
      <c r="Z1" s="6" t="s">
        <v>173</v>
      </c>
      <c r="AA1" s="6" t="s">
        <v>174</v>
      </c>
      <c r="AB1" s="6" t="s">
        <v>103</v>
      </c>
      <c r="AC1" s="6" t="s">
        <v>175</v>
      </c>
      <c r="AD1" s="17" t="s">
        <v>176</v>
      </c>
      <c r="AE1" s="17" t="s">
        <v>105</v>
      </c>
      <c r="AF1" s="17" t="s">
        <v>177</v>
      </c>
      <c r="AG1" s="6" t="s">
        <v>178</v>
      </c>
      <c r="AH1" s="6">
        <v>400</v>
      </c>
      <c r="AI1" s="6" t="s">
        <v>179</v>
      </c>
    </row>
    <row r="2" spans="2:35" ht="13.9" customHeight="1" thickBot="1">
      <c r="B2" s="553" t="s">
        <v>62</v>
      </c>
      <c r="C2" s="554"/>
      <c r="D2" s="555"/>
      <c r="E2" s="318" t="s">
        <v>180</v>
      </c>
      <c r="F2" s="559" t="s">
        <v>48</v>
      </c>
      <c r="G2" s="560"/>
      <c r="H2" s="560"/>
      <c r="I2" s="560"/>
      <c r="J2" s="560"/>
      <c r="K2" s="561"/>
      <c r="S2" s="90" t="s">
        <v>181</v>
      </c>
      <c r="T2" s="46" t="s">
        <v>182</v>
      </c>
      <c r="U2" s="90" t="e">
        <f>IF(Chxalphae="Calculer à partir de φ(∞,t0) calculé","calcul","donne")</f>
        <v>#NAME?</v>
      </c>
      <c r="V2" s="90">
        <v>2</v>
      </c>
      <c r="W2" s="91" t="s">
        <v>183</v>
      </c>
      <c r="X2" s="90" t="s">
        <v>184</v>
      </c>
      <c r="Y2" s="34" t="s">
        <v>185</v>
      </c>
      <c r="Z2" s="6" t="s">
        <v>186</v>
      </c>
      <c r="AA2" s="6" t="s">
        <v>187</v>
      </c>
      <c r="AB2" s="6" t="s">
        <v>188</v>
      </c>
      <c r="AC2" s="6" t="s">
        <v>189</v>
      </c>
      <c r="AD2" s="17" t="s">
        <v>107</v>
      </c>
      <c r="AE2" s="17" t="s">
        <v>61</v>
      </c>
      <c r="AF2" s="17" t="s">
        <v>190</v>
      </c>
      <c r="AG2" s="6" t="s">
        <v>191</v>
      </c>
      <c r="AH2" s="6">
        <v>500</v>
      </c>
      <c r="AI2" s="6" t="s">
        <v>192</v>
      </c>
    </row>
    <row r="3" spans="2:35" ht="15.6" customHeight="1">
      <c r="B3" s="7" t="s">
        <v>193</v>
      </c>
      <c r="C3" s="549"/>
      <c r="D3" s="296">
        <f>M_ELS_trav*0.001/(bw*0.01*(d*0.01)^2*sigmacbarreELU)</f>
        <v>0.37215375252808475</v>
      </c>
      <c r="E3" s="298" t="s">
        <v>194</v>
      </c>
      <c r="F3" s="322" t="s">
        <v>195</v>
      </c>
      <c r="G3" s="315"/>
      <c r="H3" s="316"/>
      <c r="I3" s="316"/>
      <c r="J3" s="316"/>
      <c r="K3" s="319"/>
      <c r="S3" s="90" t="s">
        <v>196</v>
      </c>
      <c r="T3" s="46" t="s">
        <v>197</v>
      </c>
      <c r="U3" s="90"/>
      <c r="V3" s="90">
        <v>3</v>
      </c>
      <c r="W3" s="90"/>
      <c r="X3" s="90" t="s">
        <v>198</v>
      </c>
      <c r="Y3" s="6"/>
      <c r="Z3" s="6" t="s">
        <v>57</v>
      </c>
      <c r="AA3" s="6"/>
      <c r="AB3" s="6" t="s">
        <v>199</v>
      </c>
      <c r="AC3" s="6" t="s">
        <v>200</v>
      </c>
      <c r="AG3" s="6" t="s">
        <v>201</v>
      </c>
      <c r="AH3" s="6"/>
    </row>
    <row r="4" spans="2:35" ht="16.149999999999999" thickBot="1">
      <c r="B4" s="8" t="s">
        <v>202</v>
      </c>
      <c r="C4" s="550"/>
      <c r="D4" s="344">
        <f>M_ELUtravee/M_ELS_trav</f>
        <v>1.4062086936817855</v>
      </c>
      <c r="E4" s="299" t="s">
        <v>203</v>
      </c>
      <c r="F4" s="552" t="s">
        <v>204</v>
      </c>
      <c r="G4" s="57"/>
      <c r="H4" s="314"/>
      <c r="I4" s="57"/>
      <c r="J4" s="57"/>
      <c r="K4" s="320"/>
      <c r="T4" s="46" t="s">
        <v>205</v>
      </c>
      <c r="AC4" s="6" t="s">
        <v>206</v>
      </c>
      <c r="AG4" s="6" t="s">
        <v>207</v>
      </c>
      <c r="AH4" s="6"/>
    </row>
    <row r="5" spans="2:35" ht="15.6">
      <c r="B5" s="8" t="s">
        <v>208</v>
      </c>
      <c r="C5" s="551"/>
      <c r="D5" s="271">
        <f>M_ELUappuis/M_ELS_app</f>
        <v>1.4060926485397784</v>
      </c>
      <c r="E5" s="299" t="s">
        <v>203</v>
      </c>
      <c r="F5" s="552"/>
      <c r="G5" s="57"/>
      <c r="H5" s="338"/>
      <c r="I5" s="57"/>
      <c r="J5" s="57"/>
      <c r="K5" s="257" t="s">
        <v>38</v>
      </c>
      <c r="AC5" s="6" t="s">
        <v>59</v>
      </c>
      <c r="AG5" s="6" t="s">
        <v>209</v>
      </c>
      <c r="AH5" s="6"/>
    </row>
    <row r="6" spans="2:35">
      <c r="B6" s="36"/>
      <c r="C6" s="42"/>
      <c r="D6" s="297"/>
      <c r="E6" s="299"/>
      <c r="F6" s="323"/>
      <c r="G6" s="57"/>
      <c r="H6" s="339"/>
      <c r="I6" s="57"/>
      <c r="J6" s="57"/>
      <c r="K6" s="258" t="s">
        <v>39</v>
      </c>
      <c r="AC6" s="6" t="s">
        <v>210</v>
      </c>
      <c r="AG6" s="6" t="s">
        <v>211</v>
      </c>
      <c r="AH6" s="6"/>
    </row>
    <row r="7" spans="2:35" ht="16.899999999999999">
      <c r="B7" s="547" t="s">
        <v>212</v>
      </c>
      <c r="C7" s="548"/>
      <c r="D7" s="272" t="str">
        <f>IF(OR(Exposition="X0",Exposition="XC1",Exposition="XC2,XC3",Exposition="XC4",Exposition="XA"),"X0,XC,XA","XD,XF,XS")</f>
        <v>XD,XF,XS</v>
      </c>
      <c r="E7" s="299"/>
      <c r="F7" s="323"/>
      <c r="G7" s="57"/>
      <c r="H7" s="340"/>
      <c r="I7" s="57"/>
      <c r="J7" s="57"/>
      <c r="K7" s="259" t="s">
        <v>40</v>
      </c>
      <c r="AC7" s="6" t="s">
        <v>213</v>
      </c>
      <c r="AG7" s="6"/>
      <c r="AH7" s="6"/>
    </row>
    <row r="8" spans="2:35" ht="15.6">
      <c r="B8" s="547" t="s">
        <v>214</v>
      </c>
      <c r="C8" s="548"/>
      <c r="D8" s="272" t="str">
        <f>IF(OR(Exposition="XF",Exposition="XA"),"XF,XA",IF(OR(Exposition="X0",Exposition="XC1"),"X0,XC1",IF(OR(Exposition="XC2,XC3",Exposition="XC4"),"XC2,3,4","XD,XS")))</f>
        <v>XD,XS</v>
      </c>
      <c r="E8" s="299"/>
      <c r="F8" s="323"/>
      <c r="G8" s="57"/>
      <c r="H8" s="341"/>
      <c r="I8" s="57"/>
      <c r="J8" s="57"/>
      <c r="K8" s="260" t="s">
        <v>41</v>
      </c>
      <c r="AC8" s="6" t="s">
        <v>215</v>
      </c>
      <c r="AG8" s="6"/>
      <c r="AH8" s="6"/>
    </row>
    <row r="9" spans="2:35" ht="15.6">
      <c r="B9" s="547" t="s">
        <v>216</v>
      </c>
      <c r="C9" s="548"/>
      <c r="D9" s="272" t="str">
        <f>IF(OR(Exposition="XF",Exposition="XA"),"XF,XA",Exposition)</f>
        <v>XD1,XS1</v>
      </c>
      <c r="E9" s="299"/>
      <c r="F9" s="323"/>
      <c r="G9" s="57"/>
      <c r="H9" s="342"/>
      <c r="I9" s="57"/>
      <c r="J9" s="57"/>
      <c r="K9" s="490" t="s">
        <v>127</v>
      </c>
      <c r="AC9" s="6" t="s">
        <v>217</v>
      </c>
      <c r="AG9" s="6"/>
      <c r="AH9" s="6"/>
    </row>
    <row r="10" spans="2:35" ht="15" thickBot="1">
      <c r="B10" s="36"/>
      <c r="C10" s="1"/>
      <c r="D10" s="37"/>
      <c r="E10" s="299"/>
      <c r="F10" s="323"/>
      <c r="G10" s="57"/>
      <c r="H10" s="342"/>
      <c r="I10" s="57"/>
      <c r="J10" s="57"/>
      <c r="K10" s="491"/>
      <c r="AG10" s="6"/>
      <c r="AH10" s="6"/>
    </row>
    <row r="11" spans="2:35">
      <c r="B11" s="556" t="s">
        <v>73</v>
      </c>
      <c r="C11" s="557"/>
      <c r="D11" s="558"/>
      <c r="E11" s="300"/>
      <c r="F11" s="323"/>
      <c r="G11" s="57"/>
      <c r="H11" s="308"/>
      <c r="I11" s="57"/>
      <c r="J11" s="57"/>
      <c r="K11" s="320"/>
      <c r="AC11" s="6"/>
      <c r="AH11" s="46"/>
    </row>
    <row r="12" spans="2:35">
      <c r="B12" s="273" t="s">
        <v>218</v>
      </c>
      <c r="C12" s="146"/>
      <c r="D12" s="274">
        <f>dp/d</f>
        <v>0.12320328542094455</v>
      </c>
      <c r="E12" s="299" t="s">
        <v>219</v>
      </c>
      <c r="F12" s="323"/>
      <c r="G12" s="57"/>
      <c r="H12" s="57"/>
      <c r="I12" s="57"/>
      <c r="J12" s="57"/>
      <c r="K12" s="320"/>
      <c r="T12" s="46"/>
      <c r="U12" s="46"/>
      <c r="V12" s="46"/>
      <c r="W12" s="46"/>
      <c r="X12" s="46"/>
    </row>
    <row r="13" spans="2:35" ht="16.899999999999999">
      <c r="B13" s="273" t="s">
        <v>220</v>
      </c>
      <c r="C13" s="146" t="s">
        <v>221</v>
      </c>
      <c r="D13" s="274">
        <f>IF(Section=1,bw*h,bw*(h-hf)+beff*hf)</f>
        <v>1375</v>
      </c>
      <c r="E13" s="299"/>
      <c r="F13" s="324" t="s">
        <v>222</v>
      </c>
      <c r="G13" s="57"/>
      <c r="H13" s="57"/>
      <c r="I13" s="57"/>
      <c r="J13" s="57"/>
      <c r="K13" s="320"/>
      <c r="T13" s="46"/>
      <c r="U13" s="46"/>
      <c r="V13" s="46"/>
      <c r="W13" s="46"/>
      <c r="X13" s="46"/>
    </row>
    <row r="14" spans="2:35" ht="16.149999999999999">
      <c r="B14" s="215" t="s">
        <v>119</v>
      </c>
      <c r="C14" s="142" t="s">
        <v>221</v>
      </c>
      <c r="D14" s="275">
        <f>MAX(0.26*fctm/fyk*bw*d,0.0013*bw*d)</f>
        <v>1.5827500000000001</v>
      </c>
      <c r="E14" s="563" t="s">
        <v>223</v>
      </c>
      <c r="F14" s="325"/>
      <c r="G14" s="57"/>
      <c r="H14" s="57"/>
      <c r="I14" s="57"/>
      <c r="J14" s="57"/>
      <c r="K14" s="320"/>
      <c r="T14" s="46"/>
      <c r="U14" s="46"/>
      <c r="V14" s="46"/>
      <c r="W14" s="46"/>
      <c r="X14" s="46"/>
    </row>
    <row r="15" spans="2:35" ht="16.149999999999999">
      <c r="B15" s="276" t="s">
        <v>224</v>
      </c>
      <c r="C15" s="142" t="s">
        <v>221</v>
      </c>
      <c r="D15" s="275">
        <f>0.04*Ac</f>
        <v>55</v>
      </c>
      <c r="E15" s="563"/>
      <c r="F15" s="326"/>
      <c r="G15" s="309"/>
      <c r="H15" s="309"/>
      <c r="I15" s="57"/>
      <c r="J15" s="57"/>
      <c r="K15" s="320"/>
      <c r="T15" s="46"/>
      <c r="U15" s="46"/>
      <c r="V15" s="46"/>
      <c r="W15" s="46"/>
      <c r="X15" s="46"/>
    </row>
    <row r="16" spans="2:35" ht="15.6">
      <c r="B16" s="273" t="s">
        <v>225</v>
      </c>
      <c r="C16" s="146" t="s">
        <v>77</v>
      </c>
      <c r="D16" s="277">
        <f>IF(Section=1,bw,beffdonné)</f>
        <v>25</v>
      </c>
      <c r="E16" s="562"/>
      <c r="F16" s="326"/>
      <c r="G16" s="57"/>
      <c r="H16" s="57"/>
      <c r="I16" s="57"/>
      <c r="J16" s="57"/>
      <c r="K16" s="320"/>
      <c r="T16" s="46"/>
      <c r="U16" s="46"/>
      <c r="V16" s="46"/>
      <c r="W16" s="46"/>
      <c r="X16" s="46"/>
    </row>
    <row r="17" spans="2:24" ht="15.6">
      <c r="B17" s="273" t="s">
        <v>226</v>
      </c>
      <c r="C17" s="146" t="s">
        <v>77</v>
      </c>
      <c r="D17" s="277">
        <f>hfdonné</f>
        <v>16</v>
      </c>
      <c r="E17" s="562"/>
      <c r="F17" s="326"/>
      <c r="G17" s="57"/>
      <c r="H17" s="57"/>
      <c r="I17" s="57"/>
      <c r="J17" s="57"/>
      <c r="K17" s="320"/>
      <c r="T17" s="46"/>
      <c r="U17" s="46"/>
      <c r="V17" s="46"/>
      <c r="W17" s="46"/>
      <c r="X17" s="46"/>
    </row>
    <row r="18" spans="2:24" ht="15" thickBot="1">
      <c r="B18" s="36"/>
      <c r="C18" s="1"/>
      <c r="D18" s="37"/>
      <c r="E18" s="299"/>
      <c r="F18" s="326"/>
      <c r="G18" s="57"/>
      <c r="H18" s="57"/>
      <c r="I18" s="57"/>
      <c r="J18" s="57"/>
      <c r="K18" s="320"/>
      <c r="T18" s="46"/>
      <c r="U18" s="46"/>
      <c r="V18" s="46"/>
      <c r="W18" s="46"/>
      <c r="X18" s="46"/>
    </row>
    <row r="19" spans="2:24" ht="15" customHeight="1" thickBot="1">
      <c r="B19" s="564" t="s">
        <v>92</v>
      </c>
      <c r="C19" s="565"/>
      <c r="D19" s="566"/>
      <c r="E19" s="300"/>
      <c r="F19" s="325" t="s">
        <v>227</v>
      </c>
      <c r="G19" s="310"/>
      <c r="H19" s="57"/>
      <c r="I19" s="57"/>
      <c r="J19" s="57"/>
      <c r="K19" s="320"/>
      <c r="T19" s="46"/>
      <c r="U19" s="46"/>
      <c r="V19" s="46"/>
      <c r="W19" s="46"/>
      <c r="X19" s="46"/>
    </row>
    <row r="20" spans="2:24" ht="15" customHeight="1">
      <c r="B20" s="567" t="s">
        <v>93</v>
      </c>
      <c r="C20" s="568"/>
      <c r="D20" s="569"/>
      <c r="E20" s="300"/>
      <c r="F20" s="325"/>
      <c r="G20" s="310"/>
      <c r="H20" s="57"/>
      <c r="I20" s="57"/>
      <c r="J20" s="57"/>
      <c r="K20" s="320"/>
      <c r="T20" s="46"/>
      <c r="U20" s="46"/>
      <c r="V20" s="46"/>
      <c r="W20" s="46"/>
      <c r="X20" s="46"/>
    </row>
    <row r="21" spans="2:24" ht="15.6">
      <c r="B21" s="7" t="s">
        <v>228</v>
      </c>
      <c r="C21" s="549"/>
      <c r="D21" s="278">
        <v>1</v>
      </c>
      <c r="E21" s="299" t="s">
        <v>229</v>
      </c>
      <c r="F21" s="327" t="s">
        <v>230</v>
      </c>
      <c r="G21" s="57"/>
      <c r="H21" s="57"/>
      <c r="I21" s="57"/>
      <c r="J21" s="57"/>
      <c r="K21" s="320"/>
      <c r="T21" s="46"/>
      <c r="U21" s="46"/>
      <c r="V21" s="46"/>
      <c r="W21" s="46"/>
      <c r="X21" s="46"/>
    </row>
    <row r="22" spans="2:24" ht="15.6">
      <c r="B22" s="7" t="s">
        <v>231</v>
      </c>
      <c r="C22" s="550"/>
      <c r="D22" s="279">
        <f>IF(ChxCombiELU="Permanente / Transitoire",1.5,IF(ChxCombiELU="Accidentelle",1.2,1.3))</f>
        <v>1.3</v>
      </c>
      <c r="E22" s="299" t="s">
        <v>232</v>
      </c>
      <c r="F22" s="328" t="s">
        <v>233</v>
      </c>
      <c r="G22" s="57"/>
      <c r="H22" s="57"/>
      <c r="I22" s="57"/>
      <c r="J22" s="57"/>
      <c r="K22" s="320"/>
      <c r="W22" s="46"/>
      <c r="X22" s="46"/>
    </row>
    <row r="23" spans="2:24">
      <c r="B23" s="8" t="s">
        <v>234</v>
      </c>
      <c r="C23" s="550"/>
      <c r="D23" s="280">
        <f>IF(fck&lt;55,0.8,0.8-(fck-50)/400)</f>
        <v>0.8</v>
      </c>
      <c r="E23" s="563" t="s">
        <v>235</v>
      </c>
      <c r="F23" s="326"/>
      <c r="G23" s="57"/>
      <c r="H23" s="57"/>
      <c r="I23" s="57"/>
      <c r="J23" s="57"/>
      <c r="K23" s="320"/>
    </row>
    <row r="24" spans="2:24">
      <c r="B24" s="8" t="s">
        <v>236</v>
      </c>
      <c r="C24" s="551"/>
      <c r="D24" s="279">
        <f>IF(fck&lt;55,1,1-(fck-50)/200)</f>
        <v>1</v>
      </c>
      <c r="E24" s="563"/>
      <c r="F24" s="326"/>
      <c r="G24" s="57"/>
      <c r="H24" s="57"/>
      <c r="I24" s="57"/>
      <c r="J24" s="57"/>
      <c r="K24" s="320"/>
    </row>
    <row r="25" spans="2:24" ht="15.6">
      <c r="B25" s="7" t="s">
        <v>237</v>
      </c>
      <c r="C25" s="3" t="s">
        <v>96</v>
      </c>
      <c r="D25" s="281">
        <f>fck+8</f>
        <v>28</v>
      </c>
      <c r="E25" s="299" t="s">
        <v>238</v>
      </c>
      <c r="F25" s="329" t="s">
        <v>239</v>
      </c>
      <c r="G25" s="57"/>
      <c r="H25" s="57"/>
      <c r="I25" s="57"/>
      <c r="J25" s="57"/>
      <c r="K25" s="320"/>
      <c r="W25" s="46"/>
      <c r="X25" s="46"/>
    </row>
    <row r="26" spans="2:24" ht="15.6">
      <c r="B26" s="7" t="s">
        <v>240</v>
      </c>
      <c r="C26" s="3" t="s">
        <v>96</v>
      </c>
      <c r="D26" s="281">
        <f>alphacc*fck/gammac</f>
        <v>15.384615384615383</v>
      </c>
      <c r="E26" s="299" t="s">
        <v>241</v>
      </c>
      <c r="F26" s="329" t="s">
        <v>242</v>
      </c>
      <c r="G26" s="57"/>
      <c r="H26" s="57"/>
      <c r="I26" s="57"/>
      <c r="J26" s="57"/>
      <c r="K26" s="320"/>
    </row>
    <row r="27" spans="2:24" ht="15.6">
      <c r="B27" s="7" t="s">
        <v>243</v>
      </c>
      <c r="C27" s="3" t="s">
        <v>244</v>
      </c>
      <c r="D27" s="281">
        <f>eta*fcd</f>
        <v>15.384615384615383</v>
      </c>
      <c r="E27" s="299" t="s">
        <v>245</v>
      </c>
      <c r="F27" s="329" t="s">
        <v>246</v>
      </c>
      <c r="G27" s="57"/>
      <c r="H27" s="57"/>
      <c r="I27" s="57"/>
      <c r="J27" s="57"/>
      <c r="K27" s="320"/>
    </row>
    <row r="28" spans="2:24" ht="15.6">
      <c r="B28" s="7" t="s">
        <v>247</v>
      </c>
      <c r="C28" s="3" t="s">
        <v>244</v>
      </c>
      <c r="D28" s="271">
        <f>IF(fck&lt;55,0.3*(fck)^(2/3),2.12*LN(1+fcm/10))</f>
        <v>2.2104188991842313</v>
      </c>
      <c r="E28" s="299" t="s">
        <v>238</v>
      </c>
      <c r="F28" s="329" t="s">
        <v>248</v>
      </c>
      <c r="G28" s="311"/>
      <c r="H28" s="57"/>
      <c r="I28" s="57"/>
      <c r="J28" s="57"/>
      <c r="K28" s="320"/>
    </row>
    <row r="29" spans="2:24" ht="15.6">
      <c r="B29" s="7" t="s">
        <v>249</v>
      </c>
      <c r="C29" s="3" t="s">
        <v>244</v>
      </c>
      <c r="D29" s="271">
        <f>IF(Maitrisedelafissuration="oui",fctm,MAX((1.6-h*10/1000)*fctm,fctm))</f>
        <v>2.3209398441434428</v>
      </c>
      <c r="E29" s="299" t="s">
        <v>250</v>
      </c>
      <c r="F29" s="326"/>
      <c r="G29" s="311"/>
      <c r="H29" s="57"/>
      <c r="I29" s="57"/>
      <c r="J29" s="57"/>
      <c r="K29" s="320"/>
    </row>
    <row r="30" spans="2:24" ht="15.6">
      <c r="B30" s="7" t="s">
        <v>251</v>
      </c>
      <c r="C30" s="3" t="s">
        <v>244</v>
      </c>
      <c r="D30" s="282">
        <f>1000*22*(fcm/10)^0.3</f>
        <v>29961.951054640307</v>
      </c>
      <c r="E30" s="299" t="s">
        <v>238</v>
      </c>
      <c r="F30" s="329" t="s">
        <v>252</v>
      </c>
      <c r="G30" s="42"/>
      <c r="H30" s="57"/>
      <c r="I30" s="57"/>
      <c r="J30" s="57"/>
      <c r="K30" s="320"/>
    </row>
    <row r="31" spans="2:24" ht="15.6">
      <c r="B31" s="7" t="s">
        <v>253</v>
      </c>
      <c r="C31" s="549"/>
      <c r="D31" s="279">
        <v>0.6</v>
      </c>
      <c r="E31" s="301" t="s">
        <v>254</v>
      </c>
      <c r="F31" s="326"/>
      <c r="G31" s="57"/>
      <c r="H31" s="57"/>
      <c r="I31" s="57"/>
      <c r="J31" s="57"/>
      <c r="K31" s="320"/>
    </row>
    <row r="32" spans="2:24" ht="15.6">
      <c r="B32" s="8" t="s">
        <v>255</v>
      </c>
      <c r="C32" s="551"/>
      <c r="D32" s="279">
        <v>0.45</v>
      </c>
      <c r="E32" s="301" t="s">
        <v>256</v>
      </c>
      <c r="F32" s="326"/>
      <c r="G32" s="57"/>
      <c r="H32" s="57"/>
      <c r="I32" s="57"/>
      <c r="J32" s="57"/>
      <c r="K32" s="320"/>
    </row>
    <row r="33" spans="2:11" ht="19.5" customHeight="1" thickBot="1">
      <c r="B33" s="47" t="s">
        <v>257</v>
      </c>
      <c r="C33" s="9" t="s">
        <v>258</v>
      </c>
      <c r="D33" s="283">
        <f>IF(fck&lt;=50,3.5,2.6+35*((90-fck)/100)^4)</f>
        <v>3.5</v>
      </c>
      <c r="E33" s="299" t="s">
        <v>259</v>
      </c>
      <c r="F33" s="328" t="s">
        <v>260</v>
      </c>
      <c r="G33" s="57"/>
      <c r="H33" s="312"/>
      <c r="I33" s="57"/>
      <c r="J33" s="57"/>
      <c r="K33" s="320"/>
    </row>
    <row r="34" spans="2:11" ht="15" thickBot="1">
      <c r="B34" s="36"/>
      <c r="C34" s="1"/>
      <c r="D34" s="51"/>
      <c r="E34" s="299"/>
      <c r="F34" s="326"/>
      <c r="G34" s="57"/>
      <c r="H34" s="57"/>
      <c r="I34" s="57"/>
      <c r="J34" s="57"/>
      <c r="K34" s="320"/>
    </row>
    <row r="35" spans="2:11" ht="15.6">
      <c r="B35" s="570" t="s">
        <v>98</v>
      </c>
      <c r="C35" s="571"/>
      <c r="D35" s="572"/>
      <c r="E35" s="302"/>
      <c r="F35" s="326"/>
      <c r="G35" s="3" t="s">
        <v>102</v>
      </c>
      <c r="H35" s="3" t="s">
        <v>261</v>
      </c>
      <c r="I35" s="3" t="s">
        <v>262</v>
      </c>
      <c r="J35" s="545" t="s">
        <v>263</v>
      </c>
      <c r="K35" s="320"/>
    </row>
    <row r="36" spans="2:11" ht="18" customHeight="1">
      <c r="B36" s="164" t="s">
        <v>264</v>
      </c>
      <c r="C36" s="165" t="s">
        <v>244</v>
      </c>
      <c r="D36" s="343">
        <v>200000</v>
      </c>
      <c r="E36" s="299" t="s">
        <v>265</v>
      </c>
      <c r="F36" s="330" t="s">
        <v>266</v>
      </c>
      <c r="G36" s="3" t="s">
        <v>103</v>
      </c>
      <c r="H36" s="3">
        <v>25</v>
      </c>
      <c r="I36" s="3">
        <v>1.05</v>
      </c>
      <c r="J36" s="545"/>
      <c r="K36" s="320"/>
    </row>
    <row r="37" spans="2:11" ht="15.6">
      <c r="B37" s="7" t="s">
        <v>267</v>
      </c>
      <c r="C37" s="3"/>
      <c r="D37" s="343">
        <f>IF(ChxCombiELU="Permanente / Transitoire",1.15,1)</f>
        <v>1</v>
      </c>
      <c r="E37" s="299" t="s">
        <v>265</v>
      </c>
      <c r="F37" s="328" t="s">
        <v>268</v>
      </c>
      <c r="G37" s="3" t="s">
        <v>188</v>
      </c>
      <c r="H37" s="3">
        <v>50</v>
      </c>
      <c r="I37" s="3">
        <v>1.08</v>
      </c>
      <c r="J37" s="545"/>
      <c r="K37" s="320"/>
    </row>
    <row r="38" spans="2:11" ht="15.6">
      <c r="B38" s="7" t="s">
        <v>269</v>
      </c>
      <c r="C38" s="3" t="s">
        <v>96</v>
      </c>
      <c r="D38" s="199">
        <f>fyk/gammas</f>
        <v>500</v>
      </c>
      <c r="E38" s="299" t="s">
        <v>270</v>
      </c>
      <c r="F38" s="329" t="s">
        <v>271</v>
      </c>
      <c r="G38" s="3" t="s">
        <v>199</v>
      </c>
      <c r="H38" s="3">
        <v>75</v>
      </c>
      <c r="I38" s="3">
        <v>1.1499999999999999</v>
      </c>
      <c r="J38" s="545"/>
      <c r="K38" s="320"/>
    </row>
    <row r="39" spans="2:11" ht="15.6">
      <c r="B39" s="7" t="s">
        <v>272</v>
      </c>
      <c r="C39" s="2" t="s">
        <v>258</v>
      </c>
      <c r="D39" s="199">
        <f>1000*fyd/Es</f>
        <v>2.5</v>
      </c>
      <c r="E39" s="299" t="s">
        <v>273</v>
      </c>
      <c r="F39" s="329" t="s">
        <v>274</v>
      </c>
      <c r="G39" s="546" t="s">
        <v>275</v>
      </c>
      <c r="H39" s="546"/>
      <c r="I39" s="546"/>
      <c r="J39" s="546"/>
      <c r="K39" s="320"/>
    </row>
    <row r="40" spans="2:11" ht="15.6">
      <c r="B40" s="7" t="s">
        <v>276</v>
      </c>
      <c r="C40" s="2" t="s">
        <v>258</v>
      </c>
      <c r="D40" s="343">
        <f>IF(palier="I",LOOKUP(Classe,G36:G38,H36:H38),10^300)</f>
        <v>25</v>
      </c>
      <c r="E40" s="299" t="s">
        <v>277</v>
      </c>
      <c r="F40" s="328" t="s">
        <v>278</v>
      </c>
      <c r="G40" s="57"/>
      <c r="H40" s="57"/>
      <c r="I40" s="57"/>
      <c r="J40" s="57"/>
      <c r="K40" s="320"/>
    </row>
    <row r="41" spans="2:11" ht="15.6">
      <c r="B41" s="7" t="s">
        <v>279</v>
      </c>
      <c r="C41" s="2" t="s">
        <v>258</v>
      </c>
      <c r="D41" s="285">
        <f>0.9*epsuk</f>
        <v>22.5</v>
      </c>
      <c r="E41" s="299" t="s">
        <v>280</v>
      </c>
      <c r="F41" s="552" t="s">
        <v>274</v>
      </c>
      <c r="G41" s="57"/>
      <c r="H41" s="57"/>
      <c r="I41" s="57"/>
      <c r="J41" s="57"/>
      <c r="K41" s="320"/>
    </row>
    <row r="42" spans="2:11" ht="15.6">
      <c r="B42" s="7" t="s">
        <v>262</v>
      </c>
      <c r="C42" s="548"/>
      <c r="D42" s="343">
        <f>LOOKUP(Classe,G36:G38,I36:I38)</f>
        <v>1.05</v>
      </c>
      <c r="E42" s="299" t="s">
        <v>277</v>
      </c>
      <c r="F42" s="552"/>
      <c r="G42" s="57"/>
      <c r="H42" s="57"/>
      <c r="I42" s="57"/>
      <c r="J42" s="57"/>
      <c r="K42" s="320"/>
    </row>
    <row r="43" spans="2:11" ht="15.6">
      <c r="B43" s="7" t="s">
        <v>281</v>
      </c>
      <c r="C43" s="548"/>
      <c r="D43" s="343">
        <v>0.8</v>
      </c>
      <c r="E43" s="562" t="s">
        <v>282</v>
      </c>
      <c r="F43" s="326"/>
      <c r="G43" s="57"/>
      <c r="H43" s="57"/>
      <c r="I43" s="57"/>
      <c r="J43" s="57"/>
      <c r="K43" s="320"/>
    </row>
    <row r="44" spans="2:11" ht="16.899999999999999">
      <c r="B44" s="7" t="s">
        <v>283</v>
      </c>
      <c r="C44" s="3" t="s">
        <v>244</v>
      </c>
      <c r="D44" s="285">
        <f>ktrois*fyk</f>
        <v>400</v>
      </c>
      <c r="E44" s="562"/>
      <c r="F44" s="329" t="s">
        <v>284</v>
      </c>
      <c r="G44" s="57"/>
      <c r="H44" s="57"/>
      <c r="I44" s="57"/>
      <c r="J44" s="57"/>
      <c r="K44" s="320"/>
    </row>
    <row r="45" spans="2:11" ht="15.6">
      <c r="B45" s="7" t="s">
        <v>285</v>
      </c>
      <c r="C45" s="2" t="s">
        <v>244</v>
      </c>
      <c r="D45" s="286">
        <f>t+u*0.001*epsud</f>
        <v>522.22222222222229</v>
      </c>
      <c r="E45" s="299" t="s">
        <v>286</v>
      </c>
      <c r="F45" s="326"/>
      <c r="G45" s="42"/>
      <c r="H45" s="42"/>
      <c r="I45" s="42"/>
      <c r="J45" s="42"/>
      <c r="K45" s="320"/>
    </row>
    <row r="46" spans="2:11" ht="15.6">
      <c r="B46" s="268" t="s">
        <v>287</v>
      </c>
      <c r="C46" s="269"/>
      <c r="D46" s="270"/>
      <c r="E46" s="268"/>
      <c r="F46" s="326"/>
      <c r="G46" s="313"/>
      <c r="H46" s="313"/>
      <c r="I46" s="42"/>
      <c r="J46" s="42"/>
      <c r="K46" s="320"/>
    </row>
    <row r="47" spans="2:11">
      <c r="B47" s="7" t="s">
        <v>288</v>
      </c>
      <c r="C47" s="3" t="s">
        <v>244</v>
      </c>
      <c r="D47" s="199">
        <f>(1-(fyd*(ksteel-1)/(Es*epsuk*0.001-fyd)))*fyd</f>
        <v>497.22222222222223</v>
      </c>
      <c r="E47" s="562" t="s">
        <v>289</v>
      </c>
      <c r="F47" s="326"/>
      <c r="G47" s="42"/>
      <c r="H47" s="42"/>
      <c r="I47" s="42"/>
      <c r="J47" s="42"/>
      <c r="K47" s="320"/>
    </row>
    <row r="48" spans="2:11">
      <c r="B48" s="7" t="s">
        <v>290</v>
      </c>
      <c r="C48" s="3" t="s">
        <v>244</v>
      </c>
      <c r="D48" s="199">
        <f>(fyd*(ksteel-1))/(epsuk*0.001-fyd/Es)</f>
        <v>1111.111111111112</v>
      </c>
      <c r="E48" s="562"/>
      <c r="F48" s="326"/>
      <c r="G48" s="42"/>
      <c r="H48" s="42"/>
      <c r="I48" s="42"/>
      <c r="J48" s="42"/>
      <c r="K48" s="320"/>
    </row>
    <row r="49" spans="2:11">
      <c r="B49" s="547" t="s">
        <v>101</v>
      </c>
      <c r="C49" s="548"/>
      <c r="D49" s="199" t="str">
        <f>IF(Données!E42=1,"H","I")</f>
        <v>I</v>
      </c>
      <c r="E49" s="303"/>
      <c r="F49" s="326"/>
      <c r="G49" s="313"/>
      <c r="H49" s="313"/>
      <c r="I49" s="42"/>
      <c r="J49" s="42"/>
      <c r="K49" s="320"/>
    </row>
    <row r="50" spans="2:11" ht="16.149999999999999" thickBot="1">
      <c r="B50" s="11" t="s">
        <v>291</v>
      </c>
      <c r="C50" s="9" t="s">
        <v>131</v>
      </c>
      <c r="D50" s="287">
        <f>IF(Nbr_lits=1,phi_1,IF(Nbr_lits=2,(n_1*phi_1^2+n_2*phi_2^2)/(n_1*phi_1+n_2*phi_2),(n_1*phi_1^2+n_2*phi_2^2+n_3*phi_3^2)/(n_1*phi_1+n_2*phi_2+n_3*phi_3)))</f>
        <v>14</v>
      </c>
      <c r="E50" s="304" t="s">
        <v>292</v>
      </c>
      <c r="F50" s="331" t="s">
        <v>293</v>
      </c>
      <c r="G50" s="42"/>
      <c r="H50" s="42"/>
      <c r="I50" s="42"/>
      <c r="J50" s="42"/>
      <c r="K50" s="320"/>
    </row>
    <row r="51" spans="2:11" ht="15" thickBot="1">
      <c r="B51" s="49"/>
      <c r="C51" s="50"/>
      <c r="D51" s="288"/>
      <c r="E51" s="301"/>
      <c r="F51" s="326"/>
      <c r="G51" s="42"/>
      <c r="H51" s="42"/>
      <c r="I51" s="42"/>
      <c r="J51" s="42"/>
      <c r="K51" s="320"/>
    </row>
    <row r="52" spans="2:11" ht="15.75" customHeight="1" thickBot="1">
      <c r="B52" s="574" t="s">
        <v>294</v>
      </c>
      <c r="C52" s="575"/>
      <c r="D52" s="576"/>
      <c r="E52" s="305">
        <f>Es/Ecm</f>
        <v>6.6751327253445112</v>
      </c>
      <c r="F52" s="329" t="s">
        <v>111</v>
      </c>
      <c r="G52" s="310"/>
      <c r="H52" s="57"/>
      <c r="I52" s="57"/>
      <c r="J52" s="57"/>
      <c r="K52" s="320"/>
    </row>
    <row r="53" spans="2:11" ht="15" thickBot="1">
      <c r="B53" s="289"/>
      <c r="C53" s="290"/>
      <c r="D53" s="291"/>
      <c r="E53" s="306"/>
      <c r="F53" s="327"/>
      <c r="G53" s="310"/>
      <c r="H53" s="57"/>
      <c r="I53" s="57"/>
      <c r="J53" s="57"/>
      <c r="K53" s="320"/>
    </row>
    <row r="54" spans="2:11" ht="15" thickBot="1">
      <c r="B54" s="577" t="s">
        <v>146</v>
      </c>
      <c r="C54" s="578"/>
      <c r="D54" s="579"/>
      <c r="E54" s="307"/>
      <c r="F54" s="327"/>
      <c r="G54" s="57"/>
      <c r="H54" s="57"/>
      <c r="I54" s="57"/>
      <c r="J54" s="57"/>
      <c r="K54" s="320"/>
    </row>
    <row r="55" spans="2:11" ht="15.6">
      <c r="B55" s="292" t="s">
        <v>295</v>
      </c>
      <c r="C55" s="170" t="s">
        <v>131</v>
      </c>
      <c r="D55" s="293">
        <f>IF(Nbr_lits=1,phi_1,IF(Nbr_lits=2,MAX(phi_1,phi_2),MAX(phi_1,phi_2,phi_3)))</f>
        <v>14</v>
      </c>
      <c r="E55" s="563" t="s">
        <v>265</v>
      </c>
      <c r="F55" s="327"/>
      <c r="G55" s="57"/>
      <c r="H55" s="57"/>
      <c r="I55" s="57"/>
      <c r="J55" s="57"/>
      <c r="K55" s="320"/>
    </row>
    <row r="56" spans="2:11" ht="15.6">
      <c r="B56" s="8" t="s">
        <v>296</v>
      </c>
      <c r="C56" s="3" t="s">
        <v>131</v>
      </c>
      <c r="D56" s="272">
        <f>IF(Nbr_lits=1,phi_1,IF(Nbr_lits=2,MAX(phi_1,phi_2),MAX(phi_1,phi_2,phi_3)))</f>
        <v>14</v>
      </c>
      <c r="E56" s="563"/>
      <c r="F56" s="327"/>
      <c r="G56" s="57"/>
      <c r="H56" s="57"/>
      <c r="I56" s="57"/>
      <c r="J56" s="57"/>
      <c r="K56" s="320"/>
    </row>
    <row r="57" spans="2:11" ht="15.6">
      <c r="B57" s="7" t="s">
        <v>253</v>
      </c>
      <c r="C57" s="3"/>
      <c r="D57" s="284">
        <v>1</v>
      </c>
      <c r="E57" s="563" t="s">
        <v>297</v>
      </c>
      <c r="F57" s="327"/>
      <c r="G57" s="57"/>
      <c r="H57" s="57"/>
      <c r="I57" s="57"/>
      <c r="J57" s="57"/>
      <c r="K57" s="320"/>
    </row>
    <row r="58" spans="2:11" ht="15.6">
      <c r="B58" s="7" t="s">
        <v>298</v>
      </c>
      <c r="C58" s="3" t="s">
        <v>131</v>
      </c>
      <c r="D58" s="284">
        <v>5</v>
      </c>
      <c r="E58" s="563"/>
      <c r="F58" s="327"/>
      <c r="G58" s="57"/>
      <c r="H58" s="57"/>
      <c r="I58" s="57"/>
      <c r="J58" s="57"/>
      <c r="K58" s="320"/>
    </row>
    <row r="59" spans="2:11" ht="16.149999999999999" thickBot="1">
      <c r="B59" s="47" t="s">
        <v>299</v>
      </c>
      <c r="C59" s="294" t="s">
        <v>131</v>
      </c>
      <c r="D59" s="295">
        <f>0.1*MAX(k_un*phimax,20,dG+k_deux)</f>
        <v>2</v>
      </c>
      <c r="E59" s="573"/>
      <c r="F59" s="332"/>
      <c r="G59" s="317"/>
      <c r="H59" s="317"/>
      <c r="I59" s="317"/>
      <c r="J59" s="317"/>
      <c r="K59" s="321"/>
    </row>
  </sheetData>
  <mergeCells count="28">
    <mergeCell ref="E55:E56"/>
    <mergeCell ref="E57:E59"/>
    <mergeCell ref="E47:E48"/>
    <mergeCell ref="B52:D52"/>
    <mergeCell ref="B49:C49"/>
    <mergeCell ref="B54:D54"/>
    <mergeCell ref="F41:F42"/>
    <mergeCell ref="C42:C43"/>
    <mergeCell ref="E43:E44"/>
    <mergeCell ref="E16:E17"/>
    <mergeCell ref="E14:E15"/>
    <mergeCell ref="E23:E24"/>
    <mergeCell ref="B19:D19"/>
    <mergeCell ref="B20:D20"/>
    <mergeCell ref="B35:D35"/>
    <mergeCell ref="F4:F5"/>
    <mergeCell ref="C3:C5"/>
    <mergeCell ref="B2:D2"/>
    <mergeCell ref="B11:D11"/>
    <mergeCell ref="F2:K2"/>
    <mergeCell ref="K9:K10"/>
    <mergeCell ref="J35:J38"/>
    <mergeCell ref="G39:J39"/>
    <mergeCell ref="B7:C7"/>
    <mergeCell ref="B8:C8"/>
    <mergeCell ref="B9:C9"/>
    <mergeCell ref="C21:C24"/>
    <mergeCell ref="C31:C32"/>
  </mergeCells>
  <conditionalFormatting sqref="F50">
    <cfRule type="expression" dxfId="14" priority="2">
      <formula>ChxCombiELS="Caractéristique"</formula>
    </cfRule>
  </conditionalFormatting>
  <conditionalFormatting sqref="E50">
    <cfRule type="expression" dxfId="13" priority="1">
      <formula>ChxCombiELS="Caractéristique"</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8"/>
  <dimension ref="A1:AN41"/>
  <sheetViews>
    <sheetView zoomScale="85" zoomScaleNormal="85" workbookViewId="0">
      <selection activeCell="T45" sqref="T45"/>
    </sheetView>
  </sheetViews>
  <sheetFormatPr defaultColWidth="11.42578125" defaultRowHeight="14.45"/>
  <cols>
    <col min="1" max="1" width="13.7109375" bestFit="1" customWidth="1"/>
    <col min="2" max="2" width="13" customWidth="1"/>
    <col min="3" max="3" width="9.5703125" bestFit="1" customWidth="1"/>
    <col min="4" max="4" width="13.28515625" customWidth="1"/>
    <col min="5" max="5" width="18" bestFit="1" customWidth="1"/>
    <col min="6" max="6" width="46.42578125" bestFit="1" customWidth="1"/>
    <col min="7" max="7" width="8.7109375" customWidth="1"/>
    <col min="8" max="8" width="9.5703125" bestFit="1" customWidth="1"/>
    <col min="9" max="9" width="12.42578125" bestFit="1" customWidth="1"/>
    <col min="10" max="10" width="32" bestFit="1" customWidth="1"/>
    <col min="11" max="11" width="7.28515625" bestFit="1" customWidth="1"/>
    <col min="12" max="12" width="5.140625" hidden="1" customWidth="1"/>
    <col min="13" max="13" width="6.5703125" hidden="1" customWidth="1"/>
    <col min="14" max="14" width="7.5703125" bestFit="1" customWidth="1"/>
    <col min="15" max="15" width="12.5703125" customWidth="1"/>
    <col min="16" max="16" width="14.140625" bestFit="1" customWidth="1"/>
    <col min="17" max="17" width="21.7109375" bestFit="1" customWidth="1"/>
    <col min="18" max="18" width="12.42578125" bestFit="1" customWidth="1"/>
    <col min="20" max="20" width="31.85546875" customWidth="1"/>
  </cols>
  <sheetData>
    <row r="1" spans="1:40" ht="15" thickBot="1">
      <c r="A1" s="1"/>
      <c r="B1" s="1"/>
      <c r="C1" s="1"/>
      <c r="D1" s="1"/>
      <c r="E1" s="1"/>
      <c r="F1" s="1"/>
      <c r="G1" s="1"/>
      <c r="H1" s="1"/>
      <c r="I1" s="1"/>
      <c r="J1" s="1"/>
      <c r="K1" s="1"/>
      <c r="L1" s="1"/>
      <c r="M1" s="1"/>
      <c r="N1" s="1"/>
      <c r="O1" s="1"/>
      <c r="P1" s="1"/>
      <c r="S1" s="187" t="s">
        <v>300</v>
      </c>
      <c r="T1">
        <f>ROUND(gamma_t,2)</f>
        <v>1.41</v>
      </c>
      <c r="U1">
        <f>IF(OR(T1=1.33,T1=1.34,T1=1.35,T1=1.36,T1=1.37),2, IF(OR(T1=1.38,T1=1.39,T1=1.4,T1=1.41,T1=1.42), 3, IF(OR(T1=1.43,T1=1.44,T1=1.45,T1=1.46,T1=1.47), 4, IF(OR(T1=1.48,T1=1.49,T1=1.5,T1=1.51,T1=1.52), 5, "Valeur non reconnue"))))</f>
        <v>3</v>
      </c>
      <c r="X1" s="184" t="s">
        <v>301</v>
      </c>
      <c r="AA1" s="185" t="s">
        <v>302</v>
      </c>
      <c r="AB1" s="185" t="s">
        <v>303</v>
      </c>
      <c r="AC1" s="185" t="s">
        <v>304</v>
      </c>
      <c r="AD1" s="185" t="s">
        <v>305</v>
      </c>
      <c r="AE1" s="185" t="s">
        <v>306</v>
      </c>
      <c r="AF1" s="185" t="s">
        <v>307</v>
      </c>
      <c r="AG1" s="185" t="s">
        <v>308</v>
      </c>
      <c r="AH1" s="185" t="s">
        <v>309</v>
      </c>
      <c r="AI1" s="185" t="s">
        <v>310</v>
      </c>
      <c r="AJ1" s="185" t="s">
        <v>311</v>
      </c>
      <c r="AK1" s="185" t="s">
        <v>312</v>
      </c>
      <c r="AL1" s="185" t="s">
        <v>313</v>
      </c>
      <c r="AM1" s="185" t="s">
        <v>314</v>
      </c>
      <c r="AN1" s="185" t="s">
        <v>315</v>
      </c>
    </row>
    <row r="2" spans="1:40" ht="21.6" thickBot="1">
      <c r="B2" s="584" t="s">
        <v>316</v>
      </c>
      <c r="C2" s="585"/>
      <c r="D2" s="586"/>
      <c r="E2" s="590" t="s">
        <v>317</v>
      </c>
      <c r="F2" s="591"/>
      <c r="G2" s="591"/>
      <c r="H2" s="591"/>
      <c r="I2" s="592"/>
      <c r="J2" s="120"/>
      <c r="K2" s="120"/>
      <c r="L2" s="120"/>
      <c r="M2" s="120"/>
      <c r="N2" s="120"/>
      <c r="O2" s="120"/>
      <c r="P2" s="121"/>
      <c r="S2" t="s">
        <v>318</v>
      </c>
      <c r="X2" s="185" t="s">
        <v>319</v>
      </c>
      <c r="Y2" s="185" t="s">
        <v>320</v>
      </c>
      <c r="Z2" s="185" t="s">
        <v>321</v>
      </c>
      <c r="AA2" s="186">
        <v>12</v>
      </c>
      <c r="AB2" s="186">
        <v>16</v>
      </c>
      <c r="AC2" s="186">
        <v>20</v>
      </c>
      <c r="AD2" s="186">
        <v>25</v>
      </c>
      <c r="AE2" s="186">
        <v>30</v>
      </c>
      <c r="AF2" s="186">
        <v>35</v>
      </c>
      <c r="AG2" s="186">
        <v>40</v>
      </c>
      <c r="AH2" s="186">
        <v>45</v>
      </c>
      <c r="AI2" s="186">
        <v>50</v>
      </c>
      <c r="AJ2" s="186">
        <v>55</v>
      </c>
      <c r="AK2" s="186">
        <v>60</v>
      </c>
      <c r="AL2" s="186">
        <v>70</v>
      </c>
      <c r="AM2" s="186">
        <v>80</v>
      </c>
      <c r="AN2" s="186">
        <v>90</v>
      </c>
    </row>
    <row r="3" spans="1:40" ht="15" thickBot="1">
      <c r="B3" s="587"/>
      <c r="C3" s="588"/>
      <c r="D3" s="589"/>
      <c r="E3" s="1"/>
      <c r="F3" s="1"/>
      <c r="G3" s="1"/>
      <c r="H3" s="1"/>
      <c r="I3" s="1"/>
      <c r="J3" s="1"/>
      <c r="K3" s="1"/>
      <c r="L3" s="1"/>
      <c r="M3" s="1"/>
      <c r="N3" s="1"/>
      <c r="O3" s="1"/>
      <c r="P3" s="122"/>
      <c r="S3" s="188" t="s">
        <v>301</v>
      </c>
      <c r="T3" s="35"/>
      <c r="U3" s="48"/>
      <c r="X3" t="s">
        <v>322</v>
      </c>
      <c r="Y3">
        <v>1.35</v>
      </c>
      <c r="Z3">
        <v>15</v>
      </c>
      <c r="AA3">
        <v>1363</v>
      </c>
      <c r="AB3">
        <v>1651</v>
      </c>
      <c r="AC3">
        <v>1886</v>
      </c>
      <c r="AD3">
        <v>2125</v>
      </c>
      <c r="AE3">
        <v>2319</v>
      </c>
      <c r="AF3">
        <v>2479</v>
      </c>
      <c r="AG3">
        <v>2613</v>
      </c>
      <c r="AH3">
        <v>2726</v>
      </c>
      <c r="AI3">
        <v>2824</v>
      </c>
      <c r="AJ3">
        <v>2994</v>
      </c>
      <c r="AK3">
        <v>3163</v>
      </c>
      <c r="AL3">
        <v>4077</v>
      </c>
    </row>
    <row r="4" spans="1:40" ht="16.899999999999999">
      <c r="A4" s="1"/>
      <c r="B4" s="123"/>
      <c r="C4" s="1"/>
      <c r="D4" s="1"/>
      <c r="E4" s="1"/>
      <c r="F4" s="1"/>
      <c r="G4" s="1"/>
      <c r="H4" s="1"/>
      <c r="I4" s="1"/>
      <c r="J4" s="1"/>
      <c r="K4" s="1"/>
      <c r="L4" s="1"/>
      <c r="M4" s="1"/>
      <c r="N4" s="1"/>
      <c r="O4" s="1"/>
      <c r="P4" s="122"/>
      <c r="S4" s="39" t="s">
        <v>323</v>
      </c>
      <c r="T4" t="s">
        <v>324</v>
      </c>
      <c r="U4" s="37">
        <f>(U5+U6*alphae+U7*alphae^2)*10^-4</f>
        <v>1.0008700000000001</v>
      </c>
      <c r="Y4">
        <v>1.4</v>
      </c>
      <c r="Z4">
        <v>15</v>
      </c>
      <c r="AA4">
        <v>1454</v>
      </c>
      <c r="AB4">
        <v>1757</v>
      </c>
      <c r="AC4">
        <v>2003</v>
      </c>
      <c r="AD4">
        <v>2252</v>
      </c>
      <c r="AE4">
        <v>2453</v>
      </c>
      <c r="AF4">
        <v>2618</v>
      </c>
      <c r="AG4">
        <v>2756</v>
      </c>
      <c r="AH4">
        <v>2873</v>
      </c>
      <c r="AI4">
        <v>2972</v>
      </c>
      <c r="AJ4">
        <v>3149</v>
      </c>
      <c r="AK4">
        <v>3325</v>
      </c>
      <c r="AL4">
        <v>4622</v>
      </c>
    </row>
    <row r="5" spans="1:40" ht="16.899999999999999">
      <c r="A5" s="1"/>
      <c r="B5" s="124" t="s">
        <v>325</v>
      </c>
      <c r="C5" s="3" t="s">
        <v>96</v>
      </c>
      <c r="D5" s="65">
        <f>kun*fck</f>
        <v>12</v>
      </c>
      <c r="E5" s="81" t="s">
        <v>254</v>
      </c>
      <c r="F5" s="119" t="s">
        <v>326</v>
      </c>
      <c r="G5" s="1"/>
      <c r="H5" s="1"/>
      <c r="I5" s="1"/>
      <c r="J5" s="1"/>
      <c r="K5" s="1"/>
      <c r="L5" s="1"/>
      <c r="M5" s="1"/>
      <c r="N5" s="1"/>
      <c r="O5" s="1"/>
      <c r="P5" s="122"/>
      <c r="S5" s="39" t="s">
        <v>327</v>
      </c>
      <c r="T5" t="s">
        <v>328</v>
      </c>
      <c r="U5" s="37">
        <f>75.3*fck-189.8</f>
        <v>1316.2</v>
      </c>
      <c r="Y5">
        <v>1.45</v>
      </c>
      <c r="Z5">
        <v>15</v>
      </c>
      <c r="AA5">
        <v>1549</v>
      </c>
      <c r="AB5">
        <v>1866</v>
      </c>
      <c r="AC5">
        <v>2123</v>
      </c>
      <c r="AD5">
        <v>2382</v>
      </c>
      <c r="AE5">
        <v>2590</v>
      </c>
      <c r="AF5">
        <v>2760</v>
      </c>
      <c r="AG5">
        <v>2901</v>
      </c>
      <c r="AH5">
        <v>3021</v>
      </c>
      <c r="AI5">
        <v>3123</v>
      </c>
      <c r="AJ5">
        <v>3307</v>
      </c>
      <c r="AK5">
        <v>3706</v>
      </c>
    </row>
    <row r="6" spans="1:40">
      <c r="A6" s="1"/>
      <c r="B6" s="123"/>
      <c r="C6" s="1"/>
      <c r="D6" s="1"/>
      <c r="E6" s="1"/>
      <c r="F6" s="1"/>
      <c r="G6" s="1"/>
      <c r="H6" s="1"/>
      <c r="I6" s="1"/>
      <c r="J6" s="1"/>
      <c r="K6" s="1"/>
      <c r="L6" s="1"/>
      <c r="M6" s="1"/>
      <c r="N6" s="1"/>
      <c r="O6" s="1"/>
      <c r="P6" s="122"/>
      <c r="S6" s="39" t="s">
        <v>329</v>
      </c>
      <c r="T6" s="189" t="s">
        <v>330</v>
      </c>
      <c r="U6" s="37">
        <f>-5.6*fck+874.5</f>
        <v>762.5</v>
      </c>
      <c r="Y6">
        <v>1.5</v>
      </c>
      <c r="Z6">
        <v>15</v>
      </c>
      <c r="AA6">
        <v>1645</v>
      </c>
      <c r="AB6">
        <v>1977</v>
      </c>
      <c r="AC6">
        <v>2245</v>
      </c>
      <c r="AD6">
        <v>2513</v>
      </c>
      <c r="AE6">
        <v>2728</v>
      </c>
      <c r="AF6">
        <v>2903</v>
      </c>
      <c r="AG6">
        <v>3049</v>
      </c>
      <c r="AH6">
        <v>3171</v>
      </c>
      <c r="AI6">
        <v>3275</v>
      </c>
      <c r="AJ6">
        <v>3466</v>
      </c>
      <c r="AK6">
        <v>4673</v>
      </c>
    </row>
    <row r="7" spans="1:40" ht="15.6">
      <c r="A7" s="1"/>
      <c r="B7" s="593" t="s">
        <v>331</v>
      </c>
      <c r="C7" s="594"/>
      <c r="D7" s="594"/>
      <c r="E7" s="595"/>
      <c r="F7" s="1"/>
      <c r="G7" s="1"/>
      <c r="H7" s="1"/>
      <c r="I7" s="1"/>
      <c r="J7" s="1"/>
      <c r="K7" s="1"/>
      <c r="L7" s="1"/>
      <c r="M7" s="1"/>
      <c r="N7" s="1"/>
      <c r="O7" s="1"/>
      <c r="P7" s="125"/>
      <c r="S7" s="39" t="s">
        <v>332</v>
      </c>
      <c r="T7" t="s">
        <v>333</v>
      </c>
      <c r="U7" s="37">
        <f>0.04*fck-13</f>
        <v>-12.2</v>
      </c>
    </row>
    <row r="8" spans="1:40" ht="15.6">
      <c r="A8" s="1"/>
      <c r="B8" s="126" t="s">
        <v>334</v>
      </c>
      <c r="C8" s="21" t="s">
        <v>65</v>
      </c>
      <c r="D8" s="67">
        <f>IF(Section=1,0,beff*hf*fcu*(d-hf/2)*0.001)</f>
        <v>0</v>
      </c>
      <c r="E8" s="82" t="s">
        <v>335</v>
      </c>
      <c r="F8" s="119" t="s">
        <v>336</v>
      </c>
      <c r="G8" s="596" t="s">
        <v>337</v>
      </c>
      <c r="H8" s="596"/>
      <c r="I8" s="596"/>
      <c r="J8" s="1"/>
      <c r="K8" s="1"/>
      <c r="L8" s="1"/>
      <c r="M8" s="1"/>
      <c r="N8" s="1"/>
      <c r="O8" s="1"/>
      <c r="P8" s="125"/>
      <c r="S8" s="39"/>
      <c r="U8" s="37"/>
    </row>
    <row r="9" spans="1:40" ht="15.6">
      <c r="A9" s="1"/>
      <c r="B9" s="126" t="s">
        <v>338</v>
      </c>
      <c r="C9" s="21" t="s">
        <v>77</v>
      </c>
      <c r="D9" s="61">
        <f>IF(Section=1,bw,IF(M_ELUtravee&lt;Mtu,beff,bw))</f>
        <v>25</v>
      </c>
      <c r="E9" s="82" t="s">
        <v>339</v>
      </c>
      <c r="F9" s="119" t="s">
        <v>340</v>
      </c>
      <c r="G9" s="21" t="s">
        <v>341</v>
      </c>
      <c r="H9" s="68">
        <f>epscu2/(epscu2+epsyd)</f>
        <v>0.58333333333333337</v>
      </c>
      <c r="I9" s="81" t="s">
        <v>342</v>
      </c>
      <c r="J9" s="119" t="s">
        <v>343</v>
      </c>
      <c r="K9" s="1"/>
      <c r="L9" s="1"/>
      <c r="M9" s="1"/>
      <c r="N9" s="1"/>
      <c r="O9" s="1"/>
      <c r="P9" s="122"/>
      <c r="S9" s="39" t="s">
        <v>344</v>
      </c>
      <c r="T9">
        <f>HLOOKUP(fck,'Dimensionnement ELU, travée'!AA2:AN6,U1)/10^4</f>
        <v>0.20030000000000001</v>
      </c>
      <c r="U9" s="37"/>
    </row>
    <row r="10" spans="1:40" ht="15.6">
      <c r="A10" s="1"/>
      <c r="B10" s="126" t="s">
        <v>345</v>
      </c>
      <c r="C10" s="21" t="s">
        <v>65</v>
      </c>
      <c r="D10" s="67">
        <f>M_ELUtravee-Mtu*(beff-bw)/beff</f>
        <v>372.35</v>
      </c>
      <c r="E10" s="82" t="s">
        <v>346</v>
      </c>
      <c r="F10" s="119" t="s">
        <v>347</v>
      </c>
      <c r="G10" s="27" t="s">
        <v>348</v>
      </c>
      <c r="H10" s="69">
        <f>U26</f>
        <v>0.35777777777777781</v>
      </c>
      <c r="I10" s="81" t="s">
        <v>342</v>
      </c>
      <c r="K10" s="1"/>
      <c r="L10" s="1"/>
      <c r="M10" s="1"/>
      <c r="N10" s="1"/>
      <c r="O10" s="1"/>
      <c r="P10" s="122"/>
      <c r="S10" s="39"/>
      <c r="U10" s="37"/>
    </row>
    <row r="11" spans="1:40" ht="15.6">
      <c r="A11" s="1"/>
      <c r="B11" s="126" t="s">
        <v>349</v>
      </c>
      <c r="C11" s="21" t="s">
        <v>65</v>
      </c>
      <c r="D11" s="61">
        <f>IF(Section="Rectangulaire",M_ELUtravee,IF(M_ELUtravee&lt;Mtu,M_ELUtravee,M_ELUun))</f>
        <v>372.35</v>
      </c>
      <c r="E11" s="82" t="s">
        <v>339</v>
      </c>
      <c r="F11" s="119" t="s">
        <v>350</v>
      </c>
      <c r="G11" s="27" t="s">
        <v>337</v>
      </c>
      <c r="H11" s="194">
        <f>IF(exposigmacbarre="X0,XC,XA",U26,IF(U29&gt;muls,muls,U29))</f>
        <v>0.20047426100000004</v>
      </c>
      <c r="I11" s="333" t="s">
        <v>351</v>
      </c>
      <c r="J11" s="119" t="s">
        <v>352</v>
      </c>
      <c r="K11" s="1"/>
      <c r="L11" s="1"/>
      <c r="M11" s="1"/>
      <c r="N11" s="1"/>
      <c r="O11" s="1"/>
      <c r="P11" s="122"/>
      <c r="S11" s="39"/>
      <c r="U11" s="37"/>
    </row>
    <row r="12" spans="1:40" ht="16.149999999999999" thickBot="1">
      <c r="A12" s="1"/>
      <c r="B12" s="127" t="s">
        <v>331</v>
      </c>
      <c r="C12" s="27"/>
      <c r="D12" s="68">
        <f>M_ELUfin/(bwfin*0.01*(d*0.01)^2*1000*fcu)</f>
        <v>0.40819415690920818</v>
      </c>
      <c r="E12" s="82" t="s">
        <v>339</v>
      </c>
      <c r="F12" s="119" t="s">
        <v>353</v>
      </c>
      <c r="G12" s="3" t="s">
        <v>354</v>
      </c>
      <c r="H12" s="64">
        <f>bwfin*0.01*(d*0.01)^2*1000*fcu*mulu</f>
        <v>182.87030771965007</v>
      </c>
      <c r="I12" s="81" t="s">
        <v>342</v>
      </c>
      <c r="J12" s="119" t="s">
        <v>355</v>
      </c>
      <c r="K12" s="1"/>
      <c r="L12" s="1"/>
      <c r="M12" s="1"/>
      <c r="N12" s="1"/>
      <c r="O12" s="1"/>
      <c r="P12" s="122"/>
      <c r="S12" s="190" t="s">
        <v>356</v>
      </c>
      <c r="T12" s="15" t="s">
        <v>357</v>
      </c>
      <c r="U12" s="38">
        <f>T9*U4</f>
        <v>0.20047426100000004</v>
      </c>
    </row>
    <row r="13" spans="1:40" ht="15" customHeight="1" thickBot="1">
      <c r="A13" s="1"/>
      <c r="B13" s="123"/>
      <c r="C13" s="1"/>
      <c r="D13" s="1"/>
      <c r="E13" s="1"/>
      <c r="F13" s="1"/>
      <c r="G13" s="1"/>
      <c r="H13" s="1"/>
      <c r="I13" s="1"/>
      <c r="J13" s="1"/>
      <c r="K13" s="1"/>
      <c r="L13" s="1"/>
      <c r="M13" s="1"/>
      <c r="N13" s="1"/>
      <c r="O13" s="1"/>
      <c r="P13" s="122"/>
      <c r="U13" s="19"/>
      <c r="X13" t="s">
        <v>358</v>
      </c>
      <c r="AA13" s="185" t="s">
        <v>302</v>
      </c>
      <c r="AB13" s="185" t="s">
        <v>303</v>
      </c>
      <c r="AC13" s="185" t="s">
        <v>304</v>
      </c>
      <c r="AD13" s="185" t="s">
        <v>305</v>
      </c>
      <c r="AE13" s="185" t="s">
        <v>306</v>
      </c>
      <c r="AF13" s="185" t="s">
        <v>307</v>
      </c>
      <c r="AG13" s="185" t="s">
        <v>308</v>
      </c>
      <c r="AH13" s="185" t="s">
        <v>309</v>
      </c>
      <c r="AI13" s="185" t="s">
        <v>310</v>
      </c>
      <c r="AJ13" s="185" t="s">
        <v>311</v>
      </c>
      <c r="AK13" s="185" t="s">
        <v>312</v>
      </c>
      <c r="AL13" s="185" t="s">
        <v>313</v>
      </c>
      <c r="AM13" s="185" t="s">
        <v>314</v>
      </c>
      <c r="AN13" s="185" t="s">
        <v>315</v>
      </c>
    </row>
    <row r="14" spans="1:40" ht="16.149999999999999" thickBot="1">
      <c r="A14" s="1"/>
      <c r="B14" s="128" t="s">
        <v>331</v>
      </c>
      <c r="C14" s="32" t="str">
        <f>IF(mucu&lt;mulu,"&lt;","&gt;")</f>
        <v>&gt;</v>
      </c>
      <c r="D14" s="44" t="s">
        <v>337</v>
      </c>
      <c r="E14" s="1"/>
      <c r="F14" s="597" t="s">
        <v>115</v>
      </c>
      <c r="G14" s="598"/>
      <c r="H14" s="598" t="str">
        <f>IF(ChxAs2user="Oui",IF(C14="&gt;","requis","non requis"),"non requis")</f>
        <v>requis</v>
      </c>
      <c r="I14" s="599"/>
      <c r="J14" s="81" t="s">
        <v>359</v>
      </c>
      <c r="K14" s="1"/>
      <c r="L14" s="1"/>
      <c r="M14" s="1"/>
      <c r="N14" s="1"/>
      <c r="O14" s="1"/>
      <c r="P14" s="122"/>
      <c r="S14" s="191" t="s">
        <v>360</v>
      </c>
      <c r="T14" s="192"/>
      <c r="U14" s="193"/>
      <c r="X14" s="185" t="s">
        <v>319</v>
      </c>
      <c r="Y14" s="185" t="s">
        <v>320</v>
      </c>
      <c r="Z14" s="185" t="s">
        <v>321</v>
      </c>
      <c r="AA14" s="186">
        <v>12</v>
      </c>
      <c r="AB14" s="186">
        <v>16</v>
      </c>
      <c r="AC14" s="186">
        <v>20</v>
      </c>
      <c r="AD14" s="186">
        <v>25</v>
      </c>
      <c r="AE14" s="186">
        <v>30</v>
      </c>
      <c r="AF14" s="186">
        <v>35</v>
      </c>
      <c r="AG14" s="186">
        <v>40</v>
      </c>
      <c r="AH14" s="186">
        <v>45</v>
      </c>
      <c r="AI14" s="186">
        <v>50</v>
      </c>
      <c r="AJ14" s="186">
        <v>55</v>
      </c>
      <c r="AK14" s="186">
        <v>60</v>
      </c>
      <c r="AL14" s="186">
        <v>70</v>
      </c>
      <c r="AM14" s="186">
        <v>80</v>
      </c>
      <c r="AN14" s="186">
        <v>90</v>
      </c>
    </row>
    <row r="15" spans="1:40" ht="16.899999999999999">
      <c r="A15" s="1"/>
      <c r="B15" s="129"/>
      <c r="C15" s="4"/>
      <c r="D15" s="4"/>
      <c r="E15" s="10"/>
      <c r="F15" s="1"/>
      <c r="G15" s="1"/>
      <c r="H15" s="1"/>
      <c r="I15" s="1"/>
      <c r="J15" s="1"/>
      <c r="K15" s="1"/>
      <c r="L15" s="1"/>
      <c r="M15" s="1"/>
      <c r="N15" s="1"/>
      <c r="O15" s="1"/>
      <c r="P15" s="122"/>
      <c r="S15" s="39" t="s">
        <v>323</v>
      </c>
      <c r="T15" t="s">
        <v>324</v>
      </c>
      <c r="U15" s="37">
        <f>(U16+U17*alphae+U18*alphae^2)*10^-4</f>
        <v>1.0005500000000001</v>
      </c>
      <c r="X15" t="s">
        <v>322</v>
      </c>
      <c r="Y15">
        <v>1.35</v>
      </c>
      <c r="Z15">
        <v>15</v>
      </c>
      <c r="AA15">
        <v>1390</v>
      </c>
      <c r="AB15">
        <v>1672</v>
      </c>
      <c r="AC15">
        <v>1903</v>
      </c>
      <c r="AD15">
        <v>2139</v>
      </c>
      <c r="AE15">
        <v>2330</v>
      </c>
      <c r="AF15">
        <v>2488</v>
      </c>
      <c r="AG15">
        <v>2620</v>
      </c>
      <c r="AH15">
        <v>2732</v>
      </c>
      <c r="AI15">
        <v>2829</v>
      </c>
      <c r="AJ15">
        <v>2997</v>
      </c>
      <c r="AK15">
        <v>3164</v>
      </c>
      <c r="AL15">
        <v>4077</v>
      </c>
    </row>
    <row r="16" spans="1:40" ht="15.6">
      <c r="A16" s="1"/>
      <c r="B16" s="126" t="s">
        <v>361</v>
      </c>
      <c r="C16" s="21" t="s">
        <v>96</v>
      </c>
      <c r="D16" s="67">
        <f>IF(AcComprimést="requis",IF(exposigmacbarre = "XD,XF,XS",MIN(sigmas2u,gamma_t*sigmas2ser),sigmas2u),0)</f>
        <v>179.92310102982714</v>
      </c>
      <c r="E16" s="82" t="s">
        <v>362</v>
      </c>
      <c r="F16" s="1"/>
      <c r="G16" s="600" t="s">
        <v>363</v>
      </c>
      <c r="H16" s="600"/>
      <c r="I16" s="600"/>
      <c r="J16" s="600"/>
      <c r="K16" s="600"/>
      <c r="L16" s="600"/>
      <c r="M16" s="600"/>
      <c r="N16" s="600"/>
      <c r="O16" s="600"/>
      <c r="P16" s="601"/>
      <c r="Q16" s="52"/>
      <c r="R16" s="52"/>
      <c r="S16" s="39" t="s">
        <v>327</v>
      </c>
      <c r="T16" t="s">
        <v>364</v>
      </c>
      <c r="U16" s="37">
        <f>71.2*fck+108</f>
        <v>1532</v>
      </c>
      <c r="Y16">
        <v>1.4</v>
      </c>
      <c r="Z16">
        <v>15</v>
      </c>
      <c r="AA16">
        <v>1480</v>
      </c>
      <c r="AB16">
        <v>1777</v>
      </c>
      <c r="AC16">
        <v>2019</v>
      </c>
      <c r="AD16">
        <v>2265</v>
      </c>
      <c r="AE16">
        <v>2463</v>
      </c>
      <c r="AF16">
        <v>2626</v>
      </c>
      <c r="AG16">
        <v>2762</v>
      </c>
      <c r="AH16">
        <v>2878</v>
      </c>
      <c r="AI16">
        <v>2977</v>
      </c>
      <c r="AJ16">
        <v>3151</v>
      </c>
      <c r="AK16">
        <v>3325</v>
      </c>
      <c r="AL16">
        <v>4622</v>
      </c>
    </row>
    <row r="17" spans="1:37" ht="16.149999999999999" thickBot="1">
      <c r="A17" s="1"/>
      <c r="B17" s="130" t="s">
        <v>365</v>
      </c>
      <c r="C17" s="117" t="s">
        <v>244</v>
      </c>
      <c r="D17" s="70">
        <f>IF(AcComprimést="requis",IF(exposigmacbarre = "XD,XF,XS",MIN(sigmas1,gamma_t*sigmas1ser),fyd),1)</f>
        <v>340.97749991427048</v>
      </c>
      <c r="E17" s="56" t="s">
        <v>366</v>
      </c>
      <c r="F17" s="1"/>
      <c r="G17" s="53" t="s">
        <v>367</v>
      </c>
      <c r="H17" s="53" t="s">
        <v>258</v>
      </c>
      <c r="I17" s="67">
        <f>epscu2*(alpha1-deltap)/alpha1</f>
        <v>2.7607802874743328</v>
      </c>
      <c r="J17" s="55" t="s">
        <v>368</v>
      </c>
      <c r="K17" s="53" t="s">
        <v>369</v>
      </c>
      <c r="L17" s="53"/>
      <c r="M17" s="54" t="e">
        <f>1.5*(1-SQRT(1-8/3*(_xlfn.SINGLE(mulu)*fcu)/(gamma_t*_xlfn.SINGLE(sigmacb))))</f>
        <v>#NAME?</v>
      </c>
      <c r="N17" s="116"/>
      <c r="O17" s="64">
        <f>1.5*(1-SQRT(1-8/3*(mulu*fcu)/(gamma_t*sigmacbarreELU)))</f>
        <v>0.42605565989297567</v>
      </c>
      <c r="P17" s="131" t="s">
        <v>370</v>
      </c>
      <c r="S17" s="39" t="s">
        <v>329</v>
      </c>
      <c r="T17" s="189" t="s">
        <v>371</v>
      </c>
      <c r="U17" s="37">
        <f>-5.2*fck+847.4</f>
        <v>743.4</v>
      </c>
      <c r="Y17">
        <v>1.45</v>
      </c>
      <c r="Z17">
        <v>15</v>
      </c>
      <c r="AA17">
        <v>1573</v>
      </c>
      <c r="AB17">
        <v>1885</v>
      </c>
      <c r="AC17">
        <v>2138</v>
      </c>
      <c r="AD17">
        <v>2393</v>
      </c>
      <c r="AE17">
        <v>2598</v>
      </c>
      <c r="AF17">
        <v>2766</v>
      </c>
      <c r="AG17">
        <v>2906</v>
      </c>
      <c r="AH17">
        <v>3025</v>
      </c>
      <c r="AI17">
        <v>3126</v>
      </c>
      <c r="AJ17">
        <v>3308</v>
      </c>
      <c r="AK17">
        <v>3706</v>
      </c>
    </row>
    <row r="18" spans="1:37" ht="16.899999999999999" thickBot="1">
      <c r="A18" s="1"/>
      <c r="B18" s="132" t="s">
        <v>372</v>
      </c>
      <c r="C18" s="20" t="s">
        <v>373</v>
      </c>
      <c r="D18" s="59">
        <f>10000*IF(AcComprimést="requis",(M_ELUfin-Mlu)/((d-dp)*0.01*1000*sigmas2e),0)</f>
        <v>24.663111596273033</v>
      </c>
      <c r="E18" s="82" t="s">
        <v>374</v>
      </c>
      <c r="F18" s="119" t="s">
        <v>375</v>
      </c>
      <c r="G18" s="602" t="s">
        <v>376</v>
      </c>
      <c r="H18" s="602"/>
      <c r="I18" s="602"/>
      <c r="J18" s="61" t="str">
        <f>IF(epss2u&lt;epsyd,"droite de Hooke","palier")</f>
        <v>palier</v>
      </c>
      <c r="K18" s="603"/>
      <c r="L18" s="604"/>
      <c r="M18" s="604"/>
      <c r="N18" s="604"/>
      <c r="O18" s="604"/>
      <c r="P18" s="605"/>
      <c r="S18" s="39" t="s">
        <v>332</v>
      </c>
      <c r="T18" t="s">
        <v>377</v>
      </c>
      <c r="U18" s="37">
        <f>0.03*fck-12.5</f>
        <v>-11.9</v>
      </c>
      <c r="Y18">
        <v>1.5</v>
      </c>
      <c r="Z18">
        <v>15</v>
      </c>
      <c r="AA18">
        <v>1668</v>
      </c>
      <c r="AB18">
        <v>1994</v>
      </c>
      <c r="AC18">
        <v>2258</v>
      </c>
      <c r="AD18">
        <v>2523</v>
      </c>
      <c r="AE18">
        <v>2735</v>
      </c>
      <c r="AF18">
        <v>2909</v>
      </c>
      <c r="AG18">
        <v>3053</v>
      </c>
      <c r="AH18">
        <v>3174</v>
      </c>
      <c r="AI18">
        <v>3277</v>
      </c>
      <c r="AJ18">
        <v>3466</v>
      </c>
      <c r="AK18">
        <v>4673</v>
      </c>
    </row>
    <row r="19" spans="1:37" ht="15.6">
      <c r="A19" s="1"/>
      <c r="B19" s="133" t="s">
        <v>378</v>
      </c>
      <c r="C19" s="16"/>
      <c r="D19" s="71">
        <f>IF(AcComprimést="requis",mulu,mucu)</f>
        <v>0.20047426100000004</v>
      </c>
      <c r="E19" s="1"/>
      <c r="F19" s="119" t="s">
        <v>379</v>
      </c>
      <c r="G19" s="53" t="s">
        <v>380</v>
      </c>
      <c r="H19" s="53" t="s">
        <v>96</v>
      </c>
      <c r="I19" s="67">
        <f>IF(Segment2u="droite de Hooke",Es*epss2u*0.001,IF(palier="I",t+u*epss2u*0.001,fyd))</f>
        <v>500.28975587497149</v>
      </c>
      <c r="J19" s="55" t="s">
        <v>289</v>
      </c>
      <c r="K19" s="53" t="s">
        <v>381</v>
      </c>
      <c r="L19" s="53" t="s">
        <v>96</v>
      </c>
      <c r="M19" s="54" t="e">
        <f>alphae*sigmacb*(alpha1l-deltap)/alpha1l</f>
        <v>#NAME?</v>
      </c>
      <c r="N19" s="53" t="s">
        <v>96</v>
      </c>
      <c r="O19" s="64">
        <f>alphae*sigmacbarreELU*(alpha1l-deltap)/alpha1l</f>
        <v>127.94907458490111</v>
      </c>
      <c r="P19" s="131" t="s">
        <v>382</v>
      </c>
      <c r="S19" s="39"/>
      <c r="U19" s="37"/>
    </row>
    <row r="20" spans="1:37" ht="15.6">
      <c r="A20" s="1"/>
      <c r="B20" s="126" t="s">
        <v>383</v>
      </c>
      <c r="C20" s="21" t="s">
        <v>65</v>
      </c>
      <c r="D20" s="67">
        <f>IF(AcComprimést="requis",Mlu,M_ELUfin)</f>
        <v>182.87030771965007</v>
      </c>
      <c r="E20" s="10"/>
      <c r="F20" s="119" t="s">
        <v>384</v>
      </c>
      <c r="G20" s="606"/>
      <c r="H20" s="607"/>
      <c r="I20" s="607"/>
      <c r="J20" s="607"/>
      <c r="K20" s="607"/>
      <c r="L20" s="607"/>
      <c r="M20" s="607"/>
      <c r="N20" s="607"/>
      <c r="O20" s="607"/>
      <c r="P20" s="608"/>
      <c r="S20" s="39" t="s">
        <v>344</v>
      </c>
      <c r="T20">
        <f>HLOOKUP(fck,'Dimensionnement ELU, travée'!AA14:AN18,U1)/10^4</f>
        <v>0.2019</v>
      </c>
      <c r="U20" s="37"/>
    </row>
    <row r="21" spans="1:37" ht="15.6">
      <c r="A21" s="1"/>
      <c r="B21" s="129"/>
      <c r="C21" s="4"/>
      <c r="D21" s="4"/>
      <c r="E21" s="10"/>
      <c r="F21" s="1"/>
      <c r="G21" s="53" t="s">
        <v>385</v>
      </c>
      <c r="H21" s="53" t="s">
        <v>96</v>
      </c>
      <c r="I21" s="609">
        <f>sigmas1</f>
        <v>507.09834685601788</v>
      </c>
      <c r="J21" s="609"/>
      <c r="K21" s="53" t="s">
        <v>386</v>
      </c>
      <c r="L21" s="116"/>
      <c r="M21" s="116"/>
      <c r="N21" s="53" t="s">
        <v>96</v>
      </c>
      <c r="O21" s="67">
        <f>alphae*sigmacbarreELU*(1-alpha1l)/alpha1l</f>
        <v>242.48001128588609</v>
      </c>
      <c r="P21" s="134" t="s">
        <v>96</v>
      </c>
      <c r="Q21" s="1"/>
      <c r="R21" s="1"/>
      <c r="S21" s="36"/>
      <c r="T21" s="1"/>
      <c r="U21" s="37"/>
    </row>
    <row r="22" spans="1:37" ht="15.6">
      <c r="A22" s="1"/>
      <c r="B22" s="126" t="s">
        <v>387</v>
      </c>
      <c r="C22" s="21"/>
      <c r="D22" s="68">
        <f>1/lambda*(1-SQRT(1-2*mucufin))</f>
        <v>0.28251980155922574</v>
      </c>
      <c r="E22" s="82" t="s">
        <v>388</v>
      </c>
      <c r="F22" s="119" t="s">
        <v>389</v>
      </c>
      <c r="G22" s="1"/>
      <c r="H22" s="1"/>
      <c r="I22" s="1"/>
      <c r="J22" s="1"/>
      <c r="K22" s="1"/>
      <c r="L22" s="1"/>
      <c r="M22" s="1"/>
      <c r="N22" s="1"/>
      <c r="O22" s="1"/>
      <c r="P22" s="122"/>
      <c r="S22" s="39"/>
      <c r="U22" s="37"/>
    </row>
    <row r="23" spans="1:37" ht="24" customHeight="1" thickBot="1">
      <c r="A23" s="1"/>
      <c r="B23" s="126" t="s">
        <v>390</v>
      </c>
      <c r="C23" s="21"/>
      <c r="D23" s="69">
        <f>epscu2/(epscu2+epsud)</f>
        <v>0.13461538461538461</v>
      </c>
      <c r="E23" s="82" t="s">
        <v>391</v>
      </c>
      <c r="F23" s="119" t="s">
        <v>392</v>
      </c>
      <c r="G23" s="1"/>
      <c r="H23" s="1"/>
      <c r="I23" s="1"/>
      <c r="J23" s="1"/>
      <c r="K23" s="1"/>
      <c r="L23" s="1"/>
      <c r="M23" s="1"/>
      <c r="N23" s="1"/>
      <c r="O23" s="1"/>
      <c r="P23" s="122"/>
      <c r="S23" s="190" t="s">
        <v>356</v>
      </c>
      <c r="T23" s="15" t="s">
        <v>357</v>
      </c>
      <c r="U23" s="38">
        <f>T20*U15</f>
        <v>0.202011045</v>
      </c>
      <c r="AD23" s="580" t="s">
        <v>351</v>
      </c>
      <c r="AE23" s="580"/>
      <c r="AF23" s="580"/>
      <c r="AG23" s="580"/>
    </row>
    <row r="24" spans="1:37" ht="15.6">
      <c r="A24" s="1"/>
      <c r="B24" s="127" t="s">
        <v>393</v>
      </c>
      <c r="C24" s="27"/>
      <c r="D24" s="69">
        <f>lambda*alphaAB*(1-lambda/2*alphaAB)</f>
        <v>0.10189349112426035</v>
      </c>
      <c r="E24" s="82" t="s">
        <v>394</v>
      </c>
      <c r="F24" s="119" t="s">
        <v>395</v>
      </c>
      <c r="G24" s="1"/>
      <c r="H24" s="1"/>
      <c r="I24" s="1"/>
      <c r="L24" s="1"/>
      <c r="M24" s="1"/>
      <c r="N24" s="1"/>
      <c r="O24" s="1"/>
      <c r="P24" s="122"/>
      <c r="AD24" s="580"/>
      <c r="AE24" s="580"/>
      <c r="AF24" s="580"/>
      <c r="AG24" s="580"/>
    </row>
    <row r="25" spans="1:37">
      <c r="A25" s="1"/>
      <c r="B25" s="123"/>
      <c r="C25" s="1"/>
      <c r="D25" s="1"/>
      <c r="E25" s="10"/>
      <c r="F25" s="1"/>
      <c r="G25" s="4"/>
      <c r="H25" s="4"/>
      <c r="I25" s="4"/>
      <c r="L25" s="1"/>
      <c r="M25" s="1"/>
      <c r="N25" s="1"/>
      <c r="O25" s="1"/>
      <c r="P25" s="122"/>
      <c r="S25" t="s">
        <v>396</v>
      </c>
      <c r="AD25" s="580"/>
      <c r="AE25" s="580"/>
      <c r="AF25" s="580"/>
      <c r="AG25" s="580"/>
    </row>
    <row r="26" spans="1:37" ht="15.6">
      <c r="A26" s="1"/>
      <c r="B26" s="135" t="s">
        <v>397</v>
      </c>
      <c r="C26" s="18" t="str">
        <f>IF(mucu&lt;muAB,"A","B")</f>
        <v>B</v>
      </c>
      <c r="D26" s="4"/>
      <c r="E26" s="10" t="s">
        <v>388</v>
      </c>
      <c r="F26" s="4"/>
      <c r="G26" s="4"/>
      <c r="H26" s="4"/>
      <c r="I26" s="4"/>
      <c r="L26" s="1"/>
      <c r="M26" s="1"/>
      <c r="N26" s="1"/>
      <c r="O26" s="1"/>
      <c r="P26" s="122"/>
      <c r="S26" t="s">
        <v>398</v>
      </c>
      <c r="T26" t="s">
        <v>399</v>
      </c>
      <c r="U26" s="183">
        <f>lambda*alpha1*(1-lambda/2*alpha1)</f>
        <v>0.35777777777777781</v>
      </c>
      <c r="AD26" s="580"/>
      <c r="AE26" s="580"/>
      <c r="AF26" s="580"/>
      <c r="AG26" s="580"/>
    </row>
    <row r="27" spans="1:37">
      <c r="A27" s="1"/>
      <c r="B27" s="129"/>
      <c r="C27" s="4"/>
      <c r="D27" s="4"/>
      <c r="E27" s="4"/>
      <c r="F27" s="4"/>
      <c r="G27" s="43"/>
      <c r="H27" s="43"/>
      <c r="I27" s="43"/>
      <c r="J27" s="334"/>
      <c r="K27" s="1"/>
      <c r="L27" s="1"/>
      <c r="M27" s="1"/>
      <c r="N27" s="1"/>
      <c r="O27" s="1"/>
      <c r="P27" s="122"/>
      <c r="AD27" s="580"/>
      <c r="AE27" s="580"/>
      <c r="AF27" s="580"/>
      <c r="AG27" s="580"/>
    </row>
    <row r="28" spans="1:37" ht="15.6">
      <c r="A28" s="1"/>
      <c r="B28" s="126" t="s">
        <v>400</v>
      </c>
      <c r="C28" s="21" t="s">
        <v>258</v>
      </c>
      <c r="D28" s="72">
        <f>IF(pivot="A",epsud,epscu2*(1-alphau)/alphau)</f>
        <v>8.8885121704160674</v>
      </c>
      <c r="E28" s="82" t="s">
        <v>388</v>
      </c>
      <c r="F28" s="119" t="s">
        <v>401</v>
      </c>
      <c r="G28" s="4"/>
      <c r="H28" s="4"/>
      <c r="I28" s="4"/>
      <c r="J28" s="4"/>
      <c r="K28" s="1"/>
      <c r="L28" s="1"/>
      <c r="M28" s="1"/>
      <c r="N28" s="1"/>
      <c r="O28" s="1"/>
      <c r="P28" s="122"/>
      <c r="AD28" s="580"/>
      <c r="AE28" s="580"/>
      <c r="AF28" s="580"/>
      <c r="AG28" s="580"/>
    </row>
    <row r="29" spans="1:37" ht="15.6">
      <c r="A29" s="1"/>
      <c r="B29" s="581" t="s">
        <v>402</v>
      </c>
      <c r="C29" s="582"/>
      <c r="D29" s="583"/>
      <c r="E29" s="118" t="str">
        <f>IF(epss1&lt;epsyd,"droite de Hooke","palier")</f>
        <v>palier</v>
      </c>
      <c r="F29" s="143" t="s">
        <v>403</v>
      </c>
      <c r="G29" s="144"/>
      <c r="H29" s="13"/>
      <c r="I29" s="4"/>
      <c r="J29" s="4"/>
      <c r="K29" s="1"/>
      <c r="L29" s="1"/>
      <c r="M29" s="1"/>
      <c r="N29" s="1"/>
      <c r="O29" s="1"/>
      <c r="P29" s="122"/>
      <c r="S29" s="27" t="s">
        <v>337</v>
      </c>
      <c r="U29">
        <f>IF(Données!E42=1,'Dimensionnement ELU, travée'!U23,'Dimensionnement ELU, travée'!U12)</f>
        <v>0.20047426100000004</v>
      </c>
      <c r="AD29" s="580"/>
      <c r="AE29" s="580"/>
      <c r="AF29" s="580"/>
      <c r="AG29" s="580"/>
    </row>
    <row r="30" spans="1:37" ht="15.6">
      <c r="A30" s="1"/>
      <c r="B30" s="126" t="s">
        <v>404</v>
      </c>
      <c r="C30" s="21" t="s">
        <v>96</v>
      </c>
      <c r="D30" s="67">
        <f>IF(Segment1="droite de Hooke",Es*epss1*0.001,IF(palier="I",MIN(t+u*epss1*0.001,sigmas1lim),fyd))</f>
        <v>507.09834685601788</v>
      </c>
      <c r="E30" s="82" t="s">
        <v>388</v>
      </c>
      <c r="F30" s="119" t="s">
        <v>405</v>
      </c>
      <c r="G30" s="4"/>
      <c r="H30" s="4"/>
      <c r="I30" s="4"/>
      <c r="J30" s="4"/>
      <c r="K30" s="1"/>
      <c r="L30" s="1"/>
      <c r="M30" s="1"/>
      <c r="N30" s="1"/>
      <c r="P30" s="122"/>
      <c r="AD30" s="580"/>
      <c r="AE30" s="580"/>
      <c r="AF30" s="580"/>
      <c r="AG30" s="580"/>
    </row>
    <row r="31" spans="1:37">
      <c r="A31" s="1"/>
      <c r="B31" s="129"/>
      <c r="C31" s="4"/>
      <c r="E31" s="4"/>
      <c r="F31" s="14"/>
      <c r="G31" s="4"/>
      <c r="H31" s="4"/>
      <c r="P31" s="122"/>
    </row>
    <row r="32" spans="1:37" ht="16.149999999999999" thickBot="1">
      <c r="A32" s="1"/>
      <c r="B32" s="130" t="s">
        <v>406</v>
      </c>
      <c r="C32" s="117" t="s">
        <v>77</v>
      </c>
      <c r="D32" s="70">
        <f>d*(1-lambda/2*alphau)</f>
        <v>43.196514265626284</v>
      </c>
      <c r="E32" s="82" t="s">
        <v>388</v>
      </c>
      <c r="F32" s="119" t="s">
        <v>407</v>
      </c>
      <c r="G32" s="4"/>
      <c r="H32" s="4"/>
      <c r="P32" s="122"/>
    </row>
    <row r="33" spans="1:20" ht="16.899999999999999" thickBot="1">
      <c r="A33" s="1"/>
      <c r="B33" s="137" t="s">
        <v>408</v>
      </c>
      <c r="C33" s="138" t="s">
        <v>373</v>
      </c>
      <c r="D33" s="139">
        <f xml:space="preserve"> 10000*IF(Section=1,M_ELUff/(zc_t*0.01*sigmas1*1000)+0.0001*As2t*sigmas2e/sigmas1e,(M_ELUff - Mtu*(beff-bwfin)/beff) /(zc_t*0.01*1000*sigmas1)+(beff-bwfin)*0.01*hf*0.01*fcu/sigmas1+0.0001*As2t*sigmas2e/sigmas1e)</f>
        <v>21.362329906364458</v>
      </c>
      <c r="E33" s="140" t="s">
        <v>409</v>
      </c>
      <c r="F33" s="141" t="s">
        <v>410</v>
      </c>
      <c r="G33" s="136"/>
      <c r="H33" s="136"/>
      <c r="I33" s="103"/>
      <c r="J33" s="103"/>
      <c r="K33" s="103"/>
      <c r="L33" s="103"/>
      <c r="M33" s="103"/>
      <c r="N33" s="103"/>
      <c r="O33" s="103"/>
      <c r="P33" s="145"/>
      <c r="Q33" s="13"/>
      <c r="S33" s="40"/>
    </row>
    <row r="34" spans="1:20">
      <c r="A34" s="1"/>
      <c r="B34" s="93"/>
      <c r="E34" s="98"/>
      <c r="F34" s="13"/>
      <c r="G34" s="1"/>
      <c r="H34" s="1"/>
      <c r="I34" s="1"/>
      <c r="J34" s="1"/>
      <c r="K34" s="1"/>
      <c r="L34" s="1"/>
      <c r="M34" s="1"/>
      <c r="N34" s="1"/>
      <c r="O34" s="1"/>
      <c r="P34" s="1"/>
    </row>
    <row r="35" spans="1:20">
      <c r="A35" s="1"/>
      <c r="B35" s="93"/>
      <c r="D35" s="163"/>
      <c r="J35" s="13"/>
      <c r="K35" s="19"/>
      <c r="L35" s="4"/>
      <c r="M35" s="4"/>
    </row>
    <row r="36" spans="1:20">
      <c r="A36" s="1"/>
      <c r="B36" s="93"/>
      <c r="F36" s="13"/>
      <c r="G36" s="1"/>
      <c r="H36" s="1"/>
      <c r="P36" s="1"/>
    </row>
    <row r="37" spans="1:20">
      <c r="A37" s="1"/>
      <c r="B37" s="93"/>
    </row>
    <row r="38" spans="1:20">
      <c r="A38" s="1"/>
      <c r="B38" s="93"/>
      <c r="C38" s="1"/>
      <c r="D38" s="1"/>
      <c r="E38" s="1"/>
      <c r="F38" s="14"/>
      <c r="G38" s="1"/>
      <c r="H38" s="1"/>
      <c r="I38" s="1"/>
      <c r="J38" s="13"/>
      <c r="K38" s="19"/>
      <c r="L38" s="4"/>
      <c r="M38" s="4"/>
      <c r="N38" s="1"/>
      <c r="O38" s="1"/>
      <c r="P38" s="1"/>
      <c r="T38" s="1"/>
    </row>
    <row r="39" spans="1:20">
      <c r="A39" s="1"/>
      <c r="B39" s="4"/>
      <c r="C39" s="1"/>
      <c r="D39" s="1"/>
      <c r="E39" s="14"/>
      <c r="F39" s="1"/>
      <c r="G39" s="1"/>
      <c r="H39" s="1"/>
      <c r="I39" s="1"/>
      <c r="J39" s="1"/>
      <c r="K39" s="1"/>
      <c r="L39" s="1"/>
      <c r="M39" s="1"/>
      <c r="N39" s="1"/>
      <c r="O39" s="1"/>
      <c r="P39" s="1"/>
    </row>
    <row r="40" spans="1:20">
      <c r="A40" s="1"/>
      <c r="B40" s="1"/>
      <c r="C40" s="1"/>
      <c r="D40" s="1"/>
      <c r="E40" s="1"/>
      <c r="F40" s="1"/>
      <c r="J40" s="1"/>
      <c r="K40" s="1"/>
      <c r="L40" s="1"/>
      <c r="M40" s="1"/>
      <c r="N40" s="1"/>
      <c r="O40" s="1"/>
      <c r="P40" s="1"/>
    </row>
    <row r="41" spans="1:20">
      <c r="A41" s="1"/>
      <c r="B41" s="1"/>
      <c r="C41" s="1"/>
      <c r="D41" s="1"/>
      <c r="E41" s="92"/>
      <c r="F41" s="1"/>
      <c r="G41" s="1"/>
      <c r="H41" s="1"/>
      <c r="I41" s="1"/>
      <c r="J41" s="1"/>
      <c r="K41" s="1"/>
      <c r="L41" s="1"/>
      <c r="M41" s="1"/>
      <c r="N41" s="1"/>
      <c r="O41" s="1"/>
      <c r="P41" s="1"/>
    </row>
  </sheetData>
  <mergeCells count="13">
    <mergeCell ref="AD23:AG30"/>
    <mergeCell ref="B29:D29"/>
    <mergeCell ref="B2:D3"/>
    <mergeCell ref="E2:I2"/>
    <mergeCell ref="B7:E7"/>
    <mergeCell ref="G8:I8"/>
    <mergeCell ref="F14:G14"/>
    <mergeCell ref="H14:I14"/>
    <mergeCell ref="G16:P16"/>
    <mergeCell ref="G18:I18"/>
    <mergeCell ref="K18:P18"/>
    <mergeCell ref="G20:P20"/>
    <mergeCell ref="I21:J21"/>
  </mergeCells>
  <conditionalFormatting sqref="C14 H14">
    <cfRule type="expression" dxfId="12" priority="1">
      <formula>$C$14&lt;&gt;"&lt;"</formula>
    </cfRule>
    <cfRule type="expression" dxfId="11" priority="2">
      <formula>$C$14="&lt;"</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E49F0-F74B-4118-B477-52A5C8693D6D}">
  <sheetPr codeName="Feuil3"/>
  <dimension ref="A1:AN41"/>
  <sheetViews>
    <sheetView zoomScaleNormal="100" workbookViewId="0">
      <selection activeCell="O14" sqref="O14"/>
    </sheetView>
  </sheetViews>
  <sheetFormatPr defaultColWidth="11.42578125" defaultRowHeight="14.45"/>
  <cols>
    <col min="1" max="1" width="13.7109375" bestFit="1" customWidth="1"/>
    <col min="2" max="2" width="13" customWidth="1"/>
    <col min="3" max="3" width="9.5703125" bestFit="1" customWidth="1"/>
    <col min="4" max="4" width="10.85546875" customWidth="1"/>
    <col min="5" max="5" width="18" bestFit="1" customWidth="1"/>
    <col min="6" max="6" width="46.42578125" bestFit="1" customWidth="1"/>
    <col min="7" max="7" width="8.7109375" customWidth="1"/>
    <col min="8" max="8" width="9.5703125" bestFit="1" customWidth="1"/>
    <col min="9" max="9" width="12.42578125" bestFit="1" customWidth="1"/>
    <col min="10" max="10" width="32" bestFit="1" customWidth="1"/>
    <col min="11" max="11" width="7.28515625" bestFit="1" customWidth="1"/>
    <col min="12" max="12" width="5.140625" hidden="1" customWidth="1"/>
    <col min="13" max="13" width="6.5703125" hidden="1" customWidth="1"/>
    <col min="14" max="14" width="7.5703125" bestFit="1" customWidth="1"/>
    <col min="15" max="15" width="12.5703125" customWidth="1"/>
    <col min="16" max="16" width="14.140625" bestFit="1" customWidth="1"/>
    <col min="17" max="17" width="21.7109375" bestFit="1" customWidth="1"/>
    <col min="18" max="18" width="12.42578125" bestFit="1" customWidth="1"/>
    <col min="20" max="20" width="31.85546875" customWidth="1"/>
  </cols>
  <sheetData>
    <row r="1" spans="1:40" ht="15" thickBot="1">
      <c r="A1" s="1"/>
      <c r="B1" s="1"/>
      <c r="C1" s="1"/>
      <c r="D1" s="1"/>
      <c r="E1" s="1"/>
      <c r="F1" s="1"/>
      <c r="G1" s="1"/>
      <c r="H1" s="1"/>
      <c r="I1" s="1"/>
      <c r="J1" s="1"/>
      <c r="K1" s="1"/>
      <c r="L1" s="1"/>
      <c r="M1" s="1"/>
      <c r="N1" s="1"/>
      <c r="O1" s="1"/>
      <c r="P1" s="1"/>
      <c r="S1" s="187" t="s">
        <v>300</v>
      </c>
      <c r="T1">
        <f>ROUND(gamma_a,2)</f>
        <v>1.41</v>
      </c>
      <c r="U1">
        <f>IF(OR(T1=1.33,T1=1.34,T1=1.35,T1=1.36,T1=1.37),2, IF(OR(T1=1.38,T1=1.39,T1=1.4,T1=1.41,T1=1.42), 3, IF(OR(T1=1.43,T1=1.44,T1=1.45,T1=1.46,T1=1.47), 4, IF(OR(T1=1.48,T1=1.49,T1=1.5,T1=1.51,T1=1.52), 5, "Valeur non reconnue"))))</f>
        <v>3</v>
      </c>
      <c r="X1" s="184" t="s">
        <v>301</v>
      </c>
      <c r="AA1" s="185" t="s">
        <v>302</v>
      </c>
      <c r="AB1" s="185" t="s">
        <v>303</v>
      </c>
      <c r="AC1" s="185" t="s">
        <v>304</v>
      </c>
      <c r="AD1" s="185" t="s">
        <v>305</v>
      </c>
      <c r="AE1" s="185" t="s">
        <v>306</v>
      </c>
      <c r="AF1" s="185" t="s">
        <v>307</v>
      </c>
      <c r="AG1" s="185" t="s">
        <v>308</v>
      </c>
      <c r="AH1" s="185" t="s">
        <v>309</v>
      </c>
      <c r="AI1" s="185" t="s">
        <v>310</v>
      </c>
      <c r="AJ1" s="185" t="s">
        <v>311</v>
      </c>
      <c r="AK1" s="185" t="s">
        <v>312</v>
      </c>
      <c r="AL1" s="185" t="s">
        <v>313</v>
      </c>
      <c r="AM1" s="185" t="s">
        <v>314</v>
      </c>
      <c r="AN1" s="185" t="s">
        <v>315</v>
      </c>
    </row>
    <row r="2" spans="1:40" ht="21.6" thickBot="1">
      <c r="B2" s="584" t="s">
        <v>316</v>
      </c>
      <c r="C2" s="585"/>
      <c r="D2" s="586"/>
      <c r="E2" s="590" t="s">
        <v>317</v>
      </c>
      <c r="F2" s="591"/>
      <c r="G2" s="591"/>
      <c r="H2" s="591"/>
      <c r="I2" s="592"/>
      <c r="J2" s="120"/>
      <c r="K2" s="120"/>
      <c r="L2" s="120"/>
      <c r="M2" s="120"/>
      <c r="N2" s="120"/>
      <c r="O2" s="120"/>
      <c r="P2" s="121"/>
      <c r="S2" t="s">
        <v>318</v>
      </c>
      <c r="X2" s="185" t="s">
        <v>319</v>
      </c>
      <c r="Y2" s="185" t="s">
        <v>320</v>
      </c>
      <c r="Z2" s="185" t="s">
        <v>321</v>
      </c>
      <c r="AA2" s="186">
        <v>12</v>
      </c>
      <c r="AB2" s="186">
        <v>16</v>
      </c>
      <c r="AC2" s="186">
        <v>20</v>
      </c>
      <c r="AD2" s="186">
        <v>25</v>
      </c>
      <c r="AE2" s="186">
        <v>30</v>
      </c>
      <c r="AF2" s="186">
        <v>35</v>
      </c>
      <c r="AG2" s="186">
        <v>40</v>
      </c>
      <c r="AH2" s="186">
        <v>45</v>
      </c>
      <c r="AI2" s="186">
        <v>50</v>
      </c>
      <c r="AJ2" s="186">
        <v>55</v>
      </c>
      <c r="AK2" s="186">
        <v>60</v>
      </c>
      <c r="AL2" s="186">
        <v>70</v>
      </c>
      <c r="AM2" s="186">
        <v>80</v>
      </c>
      <c r="AN2" s="186">
        <v>90</v>
      </c>
    </row>
    <row r="3" spans="1:40" ht="15" thickBot="1">
      <c r="B3" s="587"/>
      <c r="C3" s="588"/>
      <c r="D3" s="589"/>
      <c r="E3" s="1"/>
      <c r="F3" s="1"/>
      <c r="G3" s="1"/>
      <c r="H3" s="1"/>
      <c r="I3" s="1"/>
      <c r="J3" s="1"/>
      <c r="K3" s="1"/>
      <c r="L3" s="1"/>
      <c r="M3" s="1"/>
      <c r="N3" s="1"/>
      <c r="O3" s="1"/>
      <c r="P3" s="122"/>
      <c r="S3" s="188" t="s">
        <v>301</v>
      </c>
      <c r="T3" s="35"/>
      <c r="U3" s="48"/>
      <c r="X3" t="s">
        <v>322</v>
      </c>
      <c r="Y3">
        <v>1.35</v>
      </c>
      <c r="Z3">
        <v>15</v>
      </c>
      <c r="AA3">
        <v>1363</v>
      </c>
      <c r="AB3">
        <v>1651</v>
      </c>
      <c r="AC3">
        <v>1886</v>
      </c>
      <c r="AD3">
        <v>2125</v>
      </c>
      <c r="AE3">
        <v>2319</v>
      </c>
      <c r="AF3">
        <v>2479</v>
      </c>
      <c r="AG3">
        <v>2613</v>
      </c>
      <c r="AH3">
        <v>2726</v>
      </c>
      <c r="AI3">
        <v>2824</v>
      </c>
      <c r="AJ3">
        <v>2994</v>
      </c>
      <c r="AK3">
        <v>3163</v>
      </c>
      <c r="AL3">
        <v>4077</v>
      </c>
    </row>
    <row r="4" spans="1:40" ht="16.899999999999999">
      <c r="A4" s="1"/>
      <c r="B4" s="123"/>
      <c r="C4" s="1"/>
      <c r="D4" s="1"/>
      <c r="E4" s="1"/>
      <c r="F4" s="1"/>
      <c r="G4" s="1"/>
      <c r="H4" s="1"/>
      <c r="I4" s="1"/>
      <c r="J4" s="1"/>
      <c r="K4" s="1"/>
      <c r="L4" s="1"/>
      <c r="M4" s="1"/>
      <c r="N4" s="1"/>
      <c r="O4" s="1"/>
      <c r="P4" s="122"/>
      <c r="S4" s="39" t="s">
        <v>323</v>
      </c>
      <c r="T4" t="s">
        <v>324</v>
      </c>
      <c r="U4" s="37">
        <f>(U5+U6*alphae+U7*alphae^2)*10^-4</f>
        <v>1.0008700000000001</v>
      </c>
      <c r="Y4">
        <v>1.4</v>
      </c>
      <c r="Z4">
        <v>15</v>
      </c>
      <c r="AA4">
        <v>1454</v>
      </c>
      <c r="AB4">
        <v>1757</v>
      </c>
      <c r="AC4">
        <v>2003</v>
      </c>
      <c r="AD4">
        <v>2252</v>
      </c>
      <c r="AE4">
        <v>2453</v>
      </c>
      <c r="AF4">
        <v>2618</v>
      </c>
      <c r="AG4">
        <v>2756</v>
      </c>
      <c r="AH4">
        <v>2873</v>
      </c>
      <c r="AI4">
        <v>2972</v>
      </c>
      <c r="AJ4">
        <v>3149</v>
      </c>
      <c r="AK4">
        <v>3325</v>
      </c>
      <c r="AL4">
        <v>4622</v>
      </c>
    </row>
    <row r="5" spans="1:40" ht="16.899999999999999">
      <c r="A5" s="1"/>
      <c r="B5" s="124" t="s">
        <v>325</v>
      </c>
      <c r="C5" s="3" t="s">
        <v>96</v>
      </c>
      <c r="D5" s="65">
        <f>kun*fck</f>
        <v>12</v>
      </c>
      <c r="E5" s="81" t="s">
        <v>254</v>
      </c>
      <c r="F5" s="119" t="s">
        <v>326</v>
      </c>
      <c r="G5" s="1"/>
      <c r="H5" s="1"/>
      <c r="I5" s="1"/>
      <c r="J5" s="1"/>
      <c r="K5" s="1"/>
      <c r="L5" s="1"/>
      <c r="M5" s="1"/>
      <c r="N5" s="1"/>
      <c r="O5" s="1"/>
      <c r="P5" s="122"/>
      <c r="S5" s="39" t="s">
        <v>327</v>
      </c>
      <c r="T5" t="s">
        <v>328</v>
      </c>
      <c r="U5" s="37">
        <f>75.3*fck-189.8</f>
        <v>1316.2</v>
      </c>
      <c r="Y5">
        <v>1.45</v>
      </c>
      <c r="Z5">
        <v>15</v>
      </c>
      <c r="AA5">
        <v>1549</v>
      </c>
      <c r="AB5">
        <v>1866</v>
      </c>
      <c r="AC5">
        <v>2123</v>
      </c>
      <c r="AD5">
        <v>2382</v>
      </c>
      <c r="AE5">
        <v>2590</v>
      </c>
      <c r="AF5">
        <v>2760</v>
      </c>
      <c r="AG5">
        <v>2901</v>
      </c>
      <c r="AH5">
        <v>3021</v>
      </c>
      <c r="AI5">
        <v>3123</v>
      </c>
      <c r="AJ5">
        <v>3307</v>
      </c>
      <c r="AK5">
        <v>3706</v>
      </c>
    </row>
    <row r="6" spans="1:40">
      <c r="A6" s="1"/>
      <c r="B6" s="123"/>
      <c r="C6" s="1"/>
      <c r="D6" s="1"/>
      <c r="E6" s="1"/>
      <c r="F6" s="1"/>
      <c r="G6" s="1"/>
      <c r="H6" s="1"/>
      <c r="I6" s="1"/>
      <c r="J6" s="1"/>
      <c r="K6" s="1"/>
      <c r="L6" s="1"/>
      <c r="M6" s="1"/>
      <c r="N6" s="1"/>
      <c r="O6" s="1"/>
      <c r="P6" s="122"/>
      <c r="S6" s="39" t="s">
        <v>329</v>
      </c>
      <c r="T6" s="189" t="s">
        <v>330</v>
      </c>
      <c r="U6" s="37">
        <f>-5.6*fck+874.5</f>
        <v>762.5</v>
      </c>
      <c r="Y6">
        <v>1.5</v>
      </c>
      <c r="Z6">
        <v>15</v>
      </c>
      <c r="AA6">
        <v>1645</v>
      </c>
      <c r="AB6">
        <v>1977</v>
      </c>
      <c r="AC6">
        <v>2245</v>
      </c>
      <c r="AD6">
        <v>2513</v>
      </c>
      <c r="AE6">
        <v>2728</v>
      </c>
      <c r="AF6">
        <v>2903</v>
      </c>
      <c r="AG6">
        <v>3049</v>
      </c>
      <c r="AH6">
        <v>3171</v>
      </c>
      <c r="AI6">
        <v>3275</v>
      </c>
      <c r="AJ6">
        <v>3466</v>
      </c>
      <c r="AK6">
        <v>4673</v>
      </c>
    </row>
    <row r="7" spans="1:40" ht="15.6">
      <c r="A7" s="1"/>
      <c r="B7" s="593" t="s">
        <v>331</v>
      </c>
      <c r="C7" s="594"/>
      <c r="D7" s="594"/>
      <c r="E7" s="595"/>
      <c r="F7" s="1"/>
      <c r="G7" s="1"/>
      <c r="H7" s="1"/>
      <c r="I7" s="1"/>
      <c r="J7" s="1"/>
      <c r="K7" s="1"/>
      <c r="L7" s="1"/>
      <c r="M7" s="1"/>
      <c r="N7" s="1"/>
      <c r="O7" s="1"/>
      <c r="P7" s="125"/>
      <c r="S7" s="39" t="s">
        <v>332</v>
      </c>
      <c r="T7" t="s">
        <v>333</v>
      </c>
      <c r="U7" s="37">
        <f>0.04*fck-13</f>
        <v>-12.2</v>
      </c>
    </row>
    <row r="8" spans="1:40" ht="15.6">
      <c r="A8" s="1"/>
      <c r="B8" s="126" t="s">
        <v>334</v>
      </c>
      <c r="C8" s="21" t="s">
        <v>65</v>
      </c>
      <c r="D8" s="67">
        <f>IF(Section=1,0,beff*hf*fcu*(d-hf/2)*0.001)</f>
        <v>0</v>
      </c>
      <c r="E8" s="82" t="s">
        <v>335</v>
      </c>
      <c r="F8" s="119" t="s">
        <v>336</v>
      </c>
      <c r="G8" s="596" t="s">
        <v>337</v>
      </c>
      <c r="H8" s="596"/>
      <c r="I8" s="596"/>
      <c r="J8" s="1"/>
      <c r="K8" s="1"/>
      <c r="L8" s="1"/>
      <c r="M8" s="1"/>
      <c r="N8" s="1"/>
      <c r="O8" s="1"/>
      <c r="P8" s="125"/>
      <c r="S8" s="39"/>
      <c r="U8" s="37"/>
    </row>
    <row r="9" spans="1:40" ht="15.6">
      <c r="A9" s="1"/>
      <c r="B9" s="126" t="s">
        <v>338</v>
      </c>
      <c r="C9" s="21" t="s">
        <v>77</v>
      </c>
      <c r="D9" s="61">
        <f>IF(Section=1,bw,IF(M_ELUappuis&lt;Mtu,beff,bw))</f>
        <v>25</v>
      </c>
      <c r="E9" s="82" t="s">
        <v>339</v>
      </c>
      <c r="F9" s="119" t="s">
        <v>340</v>
      </c>
      <c r="G9" s="21" t="s">
        <v>341</v>
      </c>
      <c r="H9" s="68">
        <f>epscu2/(epscu2+epsyd)</f>
        <v>0.58333333333333337</v>
      </c>
      <c r="I9" s="81" t="s">
        <v>342</v>
      </c>
      <c r="J9" s="119" t="s">
        <v>343</v>
      </c>
      <c r="K9" s="1"/>
      <c r="L9" s="1"/>
      <c r="M9" s="1"/>
      <c r="N9" s="1"/>
      <c r="O9" s="1"/>
      <c r="P9" s="122"/>
      <c r="S9" s="39" t="s">
        <v>344</v>
      </c>
      <c r="T9">
        <f>HLOOKUP(fck,'Dimensionnement ELU, travée'!AA2:AN6,U1)/10^4</f>
        <v>0.20030000000000001</v>
      </c>
      <c r="U9" s="37"/>
    </row>
    <row r="10" spans="1:40" ht="15.6">
      <c r="A10" s="1"/>
      <c r="B10" s="126" t="s">
        <v>345</v>
      </c>
      <c r="C10" s="21" t="s">
        <v>65</v>
      </c>
      <c r="D10" s="67">
        <f>M_ELUappuis-Mtu*(beff-bw)/beff</f>
        <v>55.85</v>
      </c>
      <c r="E10" s="82" t="s">
        <v>346</v>
      </c>
      <c r="F10" s="119" t="s">
        <v>347</v>
      </c>
      <c r="G10" s="27" t="s">
        <v>348</v>
      </c>
      <c r="H10" s="69">
        <f>U26</f>
        <v>0.35777777777777781</v>
      </c>
      <c r="I10" s="81" t="s">
        <v>342</v>
      </c>
      <c r="K10" s="1"/>
      <c r="L10" s="1"/>
      <c r="M10" s="1"/>
      <c r="N10" s="1"/>
      <c r="O10" s="1"/>
      <c r="P10" s="122"/>
      <c r="S10" s="39"/>
      <c r="U10" s="37"/>
    </row>
    <row r="11" spans="1:40" ht="15.6">
      <c r="A11" s="1"/>
      <c r="B11" s="126" t="s">
        <v>349</v>
      </c>
      <c r="C11" s="21" t="s">
        <v>65</v>
      </c>
      <c r="D11" s="61">
        <f>IF(Section="Rectangulaire",M_ELUappuis,IF(M_ELUappuis&lt;Mtu,M_ELUappuis,M_ELUun))</f>
        <v>55.85</v>
      </c>
      <c r="E11" s="82" t="s">
        <v>339</v>
      </c>
      <c r="F11" s="119" t="s">
        <v>350</v>
      </c>
      <c r="G11" s="27" t="s">
        <v>337</v>
      </c>
      <c r="H11" s="194">
        <f>IF(exposigmacbarre="X0,XC,XA",U26,IF(U29&gt;muls,muls,U29))</f>
        <v>0.20047426100000004</v>
      </c>
      <c r="I11" s="333" t="s">
        <v>351</v>
      </c>
      <c r="J11" s="119" t="s">
        <v>352</v>
      </c>
      <c r="K11" s="1"/>
      <c r="L11" s="1"/>
      <c r="M11" s="1"/>
      <c r="N11" s="1"/>
      <c r="O11" s="1"/>
      <c r="P11" s="122"/>
      <c r="S11" s="39"/>
      <c r="U11" s="37"/>
    </row>
    <row r="12" spans="1:40" ht="16.149999999999999" thickBot="1">
      <c r="A12" s="1"/>
      <c r="B12" s="127" t="s">
        <v>331</v>
      </c>
      <c r="C12" s="27"/>
      <c r="D12" s="68">
        <f>M_ELUfin/(bwfin*0.01*(d*0.01)^2*1000*fcu)</f>
        <v>6.1226382874658994E-2</v>
      </c>
      <c r="E12" s="82" t="s">
        <v>339</v>
      </c>
      <c r="F12" s="119" t="s">
        <v>353</v>
      </c>
      <c r="G12" s="3" t="s">
        <v>354</v>
      </c>
      <c r="H12" s="64">
        <f>bwfin*0.01*(d*0.01)^2*1000*fcu*mulu</f>
        <v>182.87030771965007</v>
      </c>
      <c r="I12" s="81" t="s">
        <v>342</v>
      </c>
      <c r="J12" s="119" t="s">
        <v>355</v>
      </c>
      <c r="K12" s="1"/>
      <c r="L12" s="1"/>
      <c r="M12" s="1"/>
      <c r="N12" s="1"/>
      <c r="O12" s="1"/>
      <c r="P12" s="122"/>
      <c r="S12" s="190" t="s">
        <v>356</v>
      </c>
      <c r="T12" s="15" t="s">
        <v>357</v>
      </c>
      <c r="U12" s="38">
        <f>T9*U4</f>
        <v>0.20047426100000004</v>
      </c>
    </row>
    <row r="13" spans="1:40" ht="15" customHeight="1" thickBot="1">
      <c r="A13" s="1"/>
      <c r="B13" s="123"/>
      <c r="C13" s="1"/>
      <c r="D13" s="1"/>
      <c r="E13" s="1"/>
      <c r="F13" s="1"/>
      <c r="G13" s="1"/>
      <c r="H13" s="1"/>
      <c r="I13" s="1"/>
      <c r="J13" s="1"/>
      <c r="K13" s="1"/>
      <c r="L13" s="1"/>
      <c r="M13" s="1"/>
      <c r="N13" s="1"/>
      <c r="O13" s="1"/>
      <c r="P13" s="122"/>
      <c r="U13" s="19"/>
      <c r="X13" t="s">
        <v>358</v>
      </c>
      <c r="AA13" s="185" t="s">
        <v>302</v>
      </c>
      <c r="AB13" s="185" t="s">
        <v>303</v>
      </c>
      <c r="AC13" s="185" t="s">
        <v>304</v>
      </c>
      <c r="AD13" s="185" t="s">
        <v>305</v>
      </c>
      <c r="AE13" s="185" t="s">
        <v>306</v>
      </c>
      <c r="AF13" s="185" t="s">
        <v>307</v>
      </c>
      <c r="AG13" s="185" t="s">
        <v>308</v>
      </c>
      <c r="AH13" s="185" t="s">
        <v>309</v>
      </c>
      <c r="AI13" s="185" t="s">
        <v>310</v>
      </c>
      <c r="AJ13" s="185" t="s">
        <v>311</v>
      </c>
      <c r="AK13" s="185" t="s">
        <v>312</v>
      </c>
      <c r="AL13" s="185" t="s">
        <v>313</v>
      </c>
      <c r="AM13" s="185" t="s">
        <v>314</v>
      </c>
      <c r="AN13" s="185" t="s">
        <v>315</v>
      </c>
    </row>
    <row r="14" spans="1:40" ht="16.149999999999999" thickBot="1">
      <c r="A14" s="1"/>
      <c r="B14" s="128" t="s">
        <v>331</v>
      </c>
      <c r="C14" s="32" t="str">
        <f>IF(mucu&lt;mulu,"&lt;","&gt;")</f>
        <v>&lt;</v>
      </c>
      <c r="D14" s="44" t="s">
        <v>337</v>
      </c>
      <c r="E14" s="1"/>
      <c r="F14" s="597" t="s">
        <v>115</v>
      </c>
      <c r="G14" s="598"/>
      <c r="H14" s="598" t="str">
        <f>IF(ChxAs2user="Oui",IF(C14="&gt;","requis","non requis"),"non requis")</f>
        <v>non requis</v>
      </c>
      <c r="I14" s="599"/>
      <c r="J14" s="81" t="s">
        <v>359</v>
      </c>
      <c r="K14" s="1"/>
      <c r="L14" s="1"/>
      <c r="M14" s="1"/>
      <c r="N14" s="1"/>
      <c r="O14" s="1"/>
      <c r="P14" s="122"/>
      <c r="S14" s="191" t="s">
        <v>360</v>
      </c>
      <c r="T14" s="192"/>
      <c r="U14" s="193"/>
      <c r="X14" s="185" t="s">
        <v>319</v>
      </c>
      <c r="Y14" s="185" t="s">
        <v>320</v>
      </c>
      <c r="Z14" s="185" t="s">
        <v>321</v>
      </c>
      <c r="AA14" s="186">
        <v>12</v>
      </c>
      <c r="AB14" s="186">
        <v>16</v>
      </c>
      <c r="AC14" s="186">
        <v>20</v>
      </c>
      <c r="AD14" s="186">
        <v>25</v>
      </c>
      <c r="AE14" s="186">
        <v>30</v>
      </c>
      <c r="AF14" s="186">
        <v>35</v>
      </c>
      <c r="AG14" s="186">
        <v>40</v>
      </c>
      <c r="AH14" s="186">
        <v>45</v>
      </c>
      <c r="AI14" s="186">
        <v>50</v>
      </c>
      <c r="AJ14" s="186">
        <v>55</v>
      </c>
      <c r="AK14" s="186">
        <v>60</v>
      </c>
      <c r="AL14" s="186">
        <v>70</v>
      </c>
      <c r="AM14" s="186">
        <v>80</v>
      </c>
      <c r="AN14" s="186">
        <v>90</v>
      </c>
    </row>
    <row r="15" spans="1:40" ht="16.899999999999999">
      <c r="A15" s="1"/>
      <c r="B15" s="129"/>
      <c r="C15" s="4"/>
      <c r="D15" s="4"/>
      <c r="E15" s="10"/>
      <c r="F15" s="1"/>
      <c r="G15" s="1"/>
      <c r="H15" s="1"/>
      <c r="I15" s="1"/>
      <c r="J15" s="1"/>
      <c r="K15" s="1"/>
      <c r="L15" s="1"/>
      <c r="M15" s="1"/>
      <c r="N15" s="1"/>
      <c r="O15" s="1"/>
      <c r="P15" s="122"/>
      <c r="S15" s="39" t="s">
        <v>323</v>
      </c>
      <c r="T15" t="s">
        <v>324</v>
      </c>
      <c r="U15" s="37">
        <f>(U16+U17*alphae+U18*alphae^2)*10^-4</f>
        <v>1.0005500000000001</v>
      </c>
      <c r="X15" t="s">
        <v>322</v>
      </c>
      <c r="Y15">
        <v>1.35</v>
      </c>
      <c r="Z15">
        <v>15</v>
      </c>
      <c r="AA15">
        <v>1390</v>
      </c>
      <c r="AB15">
        <v>1672</v>
      </c>
      <c r="AC15">
        <v>1903</v>
      </c>
      <c r="AD15">
        <v>2139</v>
      </c>
      <c r="AE15">
        <v>2330</v>
      </c>
      <c r="AF15">
        <v>2488</v>
      </c>
      <c r="AG15">
        <v>2620</v>
      </c>
      <c r="AH15">
        <v>2732</v>
      </c>
      <c r="AI15">
        <v>2829</v>
      </c>
      <c r="AJ15">
        <v>2997</v>
      </c>
      <c r="AK15">
        <v>3164</v>
      </c>
      <c r="AL15">
        <v>4077</v>
      </c>
    </row>
    <row r="16" spans="1:40" ht="15.6">
      <c r="A16" s="1"/>
      <c r="B16" s="126" t="s">
        <v>361</v>
      </c>
      <c r="C16" s="21" t="s">
        <v>96</v>
      </c>
      <c r="D16" s="67">
        <f>IF(AcComprimésa="requis",IF(exposigmacbarre = "XD,XF,XS",MIN(sigmas2u,gamma_a*sigmas2ser),sigmas2u),0)</f>
        <v>0</v>
      </c>
      <c r="E16" s="82" t="s">
        <v>362</v>
      </c>
      <c r="F16" s="1"/>
      <c r="G16" s="600" t="s">
        <v>363</v>
      </c>
      <c r="H16" s="600"/>
      <c r="I16" s="600"/>
      <c r="J16" s="600"/>
      <c r="K16" s="600"/>
      <c r="L16" s="600"/>
      <c r="M16" s="600"/>
      <c r="N16" s="600"/>
      <c r="O16" s="600"/>
      <c r="P16" s="601"/>
      <c r="Q16" s="52"/>
      <c r="R16" s="52"/>
      <c r="S16" s="39" t="s">
        <v>327</v>
      </c>
      <c r="T16" t="s">
        <v>364</v>
      </c>
      <c r="U16" s="37">
        <f>71.2*fck+108</f>
        <v>1532</v>
      </c>
      <c r="Y16">
        <v>1.4</v>
      </c>
      <c r="Z16">
        <v>15</v>
      </c>
      <c r="AA16">
        <v>1480</v>
      </c>
      <c r="AB16">
        <v>1777</v>
      </c>
      <c r="AC16">
        <v>2019</v>
      </c>
      <c r="AD16">
        <v>2265</v>
      </c>
      <c r="AE16">
        <v>2463</v>
      </c>
      <c r="AF16">
        <v>2626</v>
      </c>
      <c r="AG16">
        <v>2762</v>
      </c>
      <c r="AH16">
        <v>2878</v>
      </c>
      <c r="AI16">
        <v>2977</v>
      </c>
      <c r="AJ16">
        <v>3151</v>
      </c>
      <c r="AK16">
        <v>3325</v>
      </c>
      <c r="AL16">
        <v>4622</v>
      </c>
    </row>
    <row r="17" spans="1:37" ht="16.149999999999999" thickBot="1">
      <c r="A17" s="1"/>
      <c r="B17" s="130" t="s">
        <v>365</v>
      </c>
      <c r="C17" s="117" t="s">
        <v>244</v>
      </c>
      <c r="D17" s="70">
        <f>IF(AcComprimésa="requis",IF(exposigmacbarre = "XD,XF,XS",MIN(sigmas1,gamma_a*sigmas1ser),fyd),1)</f>
        <v>1</v>
      </c>
      <c r="E17" s="56" t="s">
        <v>366</v>
      </c>
      <c r="F17" s="1"/>
      <c r="G17" s="53" t="s">
        <v>367</v>
      </c>
      <c r="H17" s="53" t="s">
        <v>258</v>
      </c>
      <c r="I17" s="67">
        <f>epscu2*(alpha1-deltap)/alpha1</f>
        <v>2.7607802874743328</v>
      </c>
      <c r="J17" s="55" t="s">
        <v>368</v>
      </c>
      <c r="K17" s="53" t="s">
        <v>369</v>
      </c>
      <c r="L17" s="53"/>
      <c r="M17" s="54" t="e">
        <f>1.5*(1-SQRT(1-8/3*(_xlfn.SINGLE(mulu)*fcu)/(gamma_t*_xlfn.SINGLE(sigmacb))))</f>
        <v>#NAME?</v>
      </c>
      <c r="N17" s="116"/>
      <c r="O17" s="64">
        <f>1.5*(1-SQRT(1-8/3*(mulu*fcu)/(gamma_a*sigmacbarreELU)))</f>
        <v>0.42609779802389275</v>
      </c>
      <c r="P17" s="131" t="s">
        <v>370</v>
      </c>
      <c r="S17" s="39" t="s">
        <v>329</v>
      </c>
      <c r="T17" s="189" t="s">
        <v>371</v>
      </c>
      <c r="U17" s="37">
        <f>-5.2*fck+847.4</f>
        <v>743.4</v>
      </c>
      <c r="Y17">
        <v>1.45</v>
      </c>
      <c r="Z17">
        <v>15</v>
      </c>
      <c r="AA17">
        <v>1573</v>
      </c>
      <c r="AB17">
        <v>1885</v>
      </c>
      <c r="AC17">
        <v>2138</v>
      </c>
      <c r="AD17">
        <v>2393</v>
      </c>
      <c r="AE17">
        <v>2598</v>
      </c>
      <c r="AF17">
        <v>2766</v>
      </c>
      <c r="AG17">
        <v>2906</v>
      </c>
      <c r="AH17">
        <v>3025</v>
      </c>
      <c r="AI17">
        <v>3126</v>
      </c>
      <c r="AJ17">
        <v>3308</v>
      </c>
      <c r="AK17">
        <v>3706</v>
      </c>
    </row>
    <row r="18" spans="1:37" ht="16.899999999999999" thickBot="1">
      <c r="A18" s="1"/>
      <c r="B18" s="132" t="s">
        <v>372</v>
      </c>
      <c r="C18" s="20" t="s">
        <v>373</v>
      </c>
      <c r="D18" s="59" cm="1">
        <f t="array" ref="D18">10000*IF(AcComprimésa="requis",(M_ELUfin-Mlu)/((d-dp)*0.01*1000*sigmas2e),0)</f>
        <v>0</v>
      </c>
      <c r="E18" s="82" t="s">
        <v>374</v>
      </c>
      <c r="F18" s="119" t="s">
        <v>375</v>
      </c>
      <c r="G18" s="602" t="s">
        <v>376</v>
      </c>
      <c r="H18" s="602"/>
      <c r="I18" s="602"/>
      <c r="J18" s="61" t="str">
        <f>IF(epss2u&lt;epsyd,"droite de Hooke","palier")</f>
        <v>palier</v>
      </c>
      <c r="K18" s="603"/>
      <c r="L18" s="604"/>
      <c r="M18" s="604"/>
      <c r="N18" s="604"/>
      <c r="O18" s="604"/>
      <c r="P18" s="605"/>
      <c r="S18" s="39" t="s">
        <v>332</v>
      </c>
      <c r="T18" t="s">
        <v>377</v>
      </c>
      <c r="U18" s="37">
        <f>0.03*fck-12.5</f>
        <v>-11.9</v>
      </c>
      <c r="Y18">
        <v>1.5</v>
      </c>
      <c r="Z18">
        <v>15</v>
      </c>
      <c r="AA18">
        <v>1668</v>
      </c>
      <c r="AB18">
        <v>1994</v>
      </c>
      <c r="AC18">
        <v>2258</v>
      </c>
      <c r="AD18">
        <v>2523</v>
      </c>
      <c r="AE18">
        <v>2735</v>
      </c>
      <c r="AF18">
        <v>2909</v>
      </c>
      <c r="AG18">
        <v>3053</v>
      </c>
      <c r="AH18">
        <v>3174</v>
      </c>
      <c r="AI18">
        <v>3277</v>
      </c>
      <c r="AJ18">
        <v>3466</v>
      </c>
      <c r="AK18">
        <v>4673</v>
      </c>
    </row>
    <row r="19" spans="1:37" ht="15.6">
      <c r="A19" s="1"/>
      <c r="B19" s="133" t="s">
        <v>378</v>
      </c>
      <c r="C19" s="16"/>
      <c r="D19" s="71" cm="1">
        <f t="array" ref="D19">IF(AcComprimésa="requis",mulu,mucu)</f>
        <v>6.1226382874658994E-2</v>
      </c>
      <c r="E19" s="1"/>
      <c r="F19" s="119" t="s">
        <v>379</v>
      </c>
      <c r="G19" s="53" t="s">
        <v>380</v>
      </c>
      <c r="H19" s="53" t="s">
        <v>96</v>
      </c>
      <c r="I19" s="67">
        <f>IF(Segment2u="droite de Hooke",Es*epss2u*0.001,IF(palier="I",t+u*epss2u*0.001,fyd))</f>
        <v>500.28975587497149</v>
      </c>
      <c r="J19" s="55" t="s">
        <v>289</v>
      </c>
      <c r="K19" s="53" t="s">
        <v>381</v>
      </c>
      <c r="L19" s="53" t="s">
        <v>96</v>
      </c>
      <c r="M19" s="54" t="e">
        <f>alphae*sigmacb*(alpha1l-deltap)/alpha1l</f>
        <v>#NAME?</v>
      </c>
      <c r="N19" s="53" t="s">
        <v>96</v>
      </c>
      <c r="O19" s="64">
        <f>alphae*sigmacbarreELU*(alpha1l-deltap)/alpha1l</f>
        <v>127.9542220621227</v>
      </c>
      <c r="P19" s="131" t="s">
        <v>382</v>
      </c>
      <c r="S19" s="39"/>
      <c r="U19" s="37"/>
    </row>
    <row r="20" spans="1:37" ht="15.6">
      <c r="A20" s="1"/>
      <c r="B20" s="126" t="s">
        <v>383</v>
      </c>
      <c r="C20" s="21" t="s">
        <v>65</v>
      </c>
      <c r="D20" s="67" cm="1">
        <f t="array" ref="D20">IF(AcComprimésa="requis",Mlu,M_ELUfin)</f>
        <v>55.85</v>
      </c>
      <c r="E20" s="10"/>
      <c r="F20" s="119" t="s">
        <v>384</v>
      </c>
      <c r="G20" s="606"/>
      <c r="H20" s="607"/>
      <c r="I20" s="607"/>
      <c r="J20" s="607"/>
      <c r="K20" s="607"/>
      <c r="L20" s="607"/>
      <c r="M20" s="607"/>
      <c r="N20" s="607"/>
      <c r="O20" s="607"/>
      <c r="P20" s="608"/>
      <c r="S20" s="39" t="s">
        <v>344</v>
      </c>
      <c r="T20">
        <f>HLOOKUP(fck,'Dimensionnement ELU, travée'!AA14:AN18,U1)/10^4</f>
        <v>0.2019</v>
      </c>
      <c r="U20" s="37"/>
    </row>
    <row r="21" spans="1:37" ht="15.6">
      <c r="A21" s="1"/>
      <c r="B21" s="129"/>
      <c r="C21" s="4"/>
      <c r="D21" s="4"/>
      <c r="E21" s="10"/>
      <c r="F21" s="1"/>
      <c r="G21" s="53" t="s">
        <v>385</v>
      </c>
      <c r="H21" s="53" t="s">
        <v>96</v>
      </c>
      <c r="I21" s="609">
        <f>sigmas1</f>
        <v>416.31353593723571</v>
      </c>
      <c r="J21" s="609"/>
      <c r="K21" s="53" t="s">
        <v>386</v>
      </c>
      <c r="L21" s="116"/>
      <c r="M21" s="116"/>
      <c r="N21" s="53" t="s">
        <v>96</v>
      </c>
      <c r="O21" s="67">
        <f>alphae*sigmacbarreELU*(1-alpha1l)/alpha1l</f>
        <v>242.43823092910421</v>
      </c>
      <c r="P21" s="134" t="s">
        <v>96</v>
      </c>
      <c r="Q21" s="1"/>
      <c r="R21" s="1"/>
      <c r="S21" s="36"/>
      <c r="T21" s="1"/>
      <c r="U21" s="37"/>
    </row>
    <row r="22" spans="1:37" ht="15.6">
      <c r="A22" s="1"/>
      <c r="B22" s="126" t="s">
        <v>387</v>
      </c>
      <c r="C22" s="21"/>
      <c r="D22" s="68">
        <f>1/lambda*(1-SQRT(1-2*mucufin))</f>
        <v>7.9031361002058764E-2</v>
      </c>
      <c r="E22" s="82" t="s">
        <v>388</v>
      </c>
      <c r="F22" s="119" t="s">
        <v>389</v>
      </c>
      <c r="G22" s="1"/>
      <c r="H22" s="1"/>
      <c r="I22" s="1"/>
      <c r="J22" s="1"/>
      <c r="K22" s="1"/>
      <c r="L22" s="1"/>
      <c r="M22" s="1"/>
      <c r="N22" s="1"/>
      <c r="O22" s="1"/>
      <c r="P22" s="122"/>
      <c r="S22" s="39"/>
      <c r="U22" s="37"/>
    </row>
    <row r="23" spans="1:37" ht="24" customHeight="1" thickBot="1">
      <c r="A23" s="1"/>
      <c r="B23" s="126" t="s">
        <v>390</v>
      </c>
      <c r="C23" s="21"/>
      <c r="D23" s="69">
        <f>epscu2/(epscu2+epsud)</f>
        <v>0.13461538461538461</v>
      </c>
      <c r="E23" s="82" t="s">
        <v>391</v>
      </c>
      <c r="F23" s="119" t="s">
        <v>392</v>
      </c>
      <c r="G23" s="1"/>
      <c r="H23" s="1"/>
      <c r="I23" s="1"/>
      <c r="J23" s="1"/>
      <c r="K23" s="1"/>
      <c r="L23" s="1"/>
      <c r="M23" s="1"/>
      <c r="N23" s="1"/>
      <c r="O23" s="1"/>
      <c r="P23" s="122"/>
      <c r="S23" s="190" t="s">
        <v>356</v>
      </c>
      <c r="T23" s="15" t="s">
        <v>357</v>
      </c>
      <c r="U23" s="38">
        <f>T20*U15</f>
        <v>0.202011045</v>
      </c>
      <c r="AD23" s="580" t="s">
        <v>351</v>
      </c>
      <c r="AE23" s="580"/>
      <c r="AF23" s="580"/>
      <c r="AG23" s="580"/>
    </row>
    <row r="24" spans="1:37" ht="15.6">
      <c r="A24" s="1"/>
      <c r="B24" s="127" t="s">
        <v>393</v>
      </c>
      <c r="C24" s="27"/>
      <c r="D24" s="69">
        <f>lambda*alphaAB*(1-lambda/2*alphaAB)</f>
        <v>0.10189349112426035</v>
      </c>
      <c r="E24" s="82" t="s">
        <v>394</v>
      </c>
      <c r="F24" s="119" t="s">
        <v>395</v>
      </c>
      <c r="G24" s="1"/>
      <c r="H24" s="1"/>
      <c r="I24" s="1"/>
      <c r="L24" s="1"/>
      <c r="M24" s="1"/>
      <c r="N24" s="1"/>
      <c r="O24" s="1"/>
      <c r="P24" s="122"/>
      <c r="AD24" s="580"/>
      <c r="AE24" s="580"/>
      <c r="AF24" s="580"/>
      <c r="AG24" s="580"/>
    </row>
    <row r="25" spans="1:37">
      <c r="A25" s="1"/>
      <c r="B25" s="123"/>
      <c r="C25" s="1"/>
      <c r="D25" s="1"/>
      <c r="E25" s="10"/>
      <c r="F25" s="1"/>
      <c r="G25" s="4"/>
      <c r="H25" s="4"/>
      <c r="I25" s="4"/>
      <c r="L25" s="1"/>
      <c r="M25" s="1"/>
      <c r="N25" s="1"/>
      <c r="O25" s="1"/>
      <c r="P25" s="122"/>
      <c r="S25" t="s">
        <v>396</v>
      </c>
      <c r="AD25" s="580"/>
      <c r="AE25" s="580"/>
      <c r="AF25" s="580"/>
      <c r="AG25" s="580"/>
    </row>
    <row r="26" spans="1:37" ht="15.6">
      <c r="A26" s="1"/>
      <c r="B26" s="135" t="s">
        <v>397</v>
      </c>
      <c r="C26" s="18" t="str">
        <f>IF(mucu&lt;muAB,"A","B")</f>
        <v>A</v>
      </c>
      <c r="D26" s="4"/>
      <c r="E26" s="10" t="s">
        <v>388</v>
      </c>
      <c r="F26" s="4"/>
      <c r="G26" s="4"/>
      <c r="H26" s="4"/>
      <c r="I26" s="4"/>
      <c r="L26" s="1"/>
      <c r="M26" s="1"/>
      <c r="N26" s="1"/>
      <c r="O26" s="1"/>
      <c r="P26" s="122"/>
      <c r="S26" t="s">
        <v>398</v>
      </c>
      <c r="T26" t="s">
        <v>399</v>
      </c>
      <c r="U26" s="183">
        <f>lambda*alpha1*(1-lambda/2*alpha1)</f>
        <v>0.35777777777777781</v>
      </c>
      <c r="AD26" s="580"/>
      <c r="AE26" s="580"/>
      <c r="AF26" s="580"/>
      <c r="AG26" s="580"/>
    </row>
    <row r="27" spans="1:37">
      <c r="A27" s="1"/>
      <c r="B27" s="129"/>
      <c r="C27" s="4"/>
      <c r="D27" s="4"/>
      <c r="E27" s="4"/>
      <c r="F27" s="4"/>
      <c r="G27" s="43"/>
      <c r="H27" s="43"/>
      <c r="I27" s="43"/>
      <c r="J27" s="334"/>
      <c r="K27" s="1"/>
      <c r="L27" s="1"/>
      <c r="M27" s="1"/>
      <c r="N27" s="1"/>
      <c r="O27" s="1"/>
      <c r="P27" s="122"/>
      <c r="AD27" s="580"/>
      <c r="AE27" s="580"/>
      <c r="AF27" s="580"/>
      <c r="AG27" s="580"/>
    </row>
    <row r="28" spans="1:37" ht="15.6">
      <c r="A28" s="1"/>
      <c r="B28" s="126" t="s">
        <v>400</v>
      </c>
      <c r="C28" s="21" t="s">
        <v>258</v>
      </c>
      <c r="D28" s="72">
        <f>IF(pivot="A",epsud,epscu2*(1-alphau)/alphau)</f>
        <v>22.5</v>
      </c>
      <c r="E28" s="82" t="s">
        <v>388</v>
      </c>
      <c r="F28" s="119" t="s">
        <v>401</v>
      </c>
      <c r="G28" s="4"/>
      <c r="H28" s="4"/>
      <c r="I28" s="4"/>
      <c r="J28" s="4"/>
      <c r="K28" s="1"/>
      <c r="L28" s="1"/>
      <c r="M28" s="1"/>
      <c r="N28" s="1"/>
      <c r="O28" s="1"/>
      <c r="P28" s="122"/>
      <c r="AD28" s="580"/>
      <c r="AE28" s="580"/>
      <c r="AF28" s="580"/>
      <c r="AG28" s="580"/>
    </row>
    <row r="29" spans="1:37" ht="15.6">
      <c r="A29" s="1"/>
      <c r="B29" s="581" t="s">
        <v>402</v>
      </c>
      <c r="C29" s="582"/>
      <c r="D29" s="583"/>
      <c r="E29" s="118" t="str">
        <f>IF(epss1&lt;epsyd,"droite de Hooke","palier")</f>
        <v>palier</v>
      </c>
      <c r="F29" s="143" t="s">
        <v>403</v>
      </c>
      <c r="G29" s="144"/>
      <c r="H29" s="13"/>
      <c r="I29" s="4"/>
      <c r="J29" s="4"/>
      <c r="K29" s="1"/>
      <c r="L29" s="1"/>
      <c r="M29" s="1"/>
      <c r="N29" s="1"/>
      <c r="O29" s="1"/>
      <c r="P29" s="122"/>
      <c r="S29" s="27" t="s">
        <v>337</v>
      </c>
      <c r="U29">
        <f>IF(Données!E42=1,U23,U12)</f>
        <v>0.20047426100000004</v>
      </c>
      <c r="AD29" s="580"/>
      <c r="AE29" s="580"/>
      <c r="AF29" s="580"/>
      <c r="AG29" s="580"/>
    </row>
    <row r="30" spans="1:37" ht="15.6">
      <c r="A30" s="1"/>
      <c r="B30" s="126" t="s">
        <v>404</v>
      </c>
      <c r="C30" s="21" t="s">
        <v>96</v>
      </c>
      <c r="D30" s="67">
        <f>IF(Segment1="droite de Hooke",Es*epss1*0.001,IF(palier="I",MIN(t+u*epss1*0.001,sigmas1lim),fyd))</f>
        <v>522.22222222222229</v>
      </c>
      <c r="E30" s="82" t="s">
        <v>388</v>
      </c>
      <c r="F30" s="119" t="s">
        <v>405</v>
      </c>
      <c r="G30" s="4"/>
      <c r="H30" s="4"/>
      <c r="I30" s="4"/>
      <c r="J30" s="4"/>
      <c r="K30" s="1"/>
      <c r="L30" s="1"/>
      <c r="M30" s="1"/>
      <c r="N30" s="1"/>
      <c r="P30" s="122"/>
      <c r="AD30" s="580"/>
      <c r="AE30" s="580"/>
      <c r="AF30" s="580"/>
      <c r="AG30" s="580"/>
    </row>
    <row r="31" spans="1:37">
      <c r="A31" s="1"/>
      <c r="B31" s="129"/>
      <c r="C31" s="4"/>
      <c r="E31" s="4"/>
      <c r="F31" s="14"/>
      <c r="G31" s="4"/>
      <c r="H31" s="4"/>
      <c r="P31" s="122"/>
    </row>
    <row r="32" spans="1:37" ht="16.149999999999999" thickBot="1">
      <c r="A32" s="1"/>
      <c r="B32" s="130" t="s">
        <v>406</v>
      </c>
      <c r="C32" s="117" t="s">
        <v>77</v>
      </c>
      <c r="D32" s="70">
        <f>d*(1-lambda/2*alphau)</f>
        <v>47.1604690876799</v>
      </c>
      <c r="E32" s="82" t="s">
        <v>388</v>
      </c>
      <c r="F32" s="119" t="s">
        <v>407</v>
      </c>
      <c r="G32" s="4"/>
      <c r="H32" s="4"/>
      <c r="P32" s="122"/>
    </row>
    <row r="33" spans="1:20" ht="16.899999999999999" thickBot="1">
      <c r="A33" s="1"/>
      <c r="B33" s="137" t="s">
        <v>408</v>
      </c>
      <c r="C33" s="138" t="s">
        <v>373</v>
      </c>
      <c r="D33" s="139">
        <f xml:space="preserve"> 10000*IF(Section=1,M_ELUff/(zc_a*0.01*D30*1000)+0.0001*As2a*sigmas2e/sigmas1e,(M_ELUff - Mtu*(beff-bwfin)/beff) /(zc_a*0.01*1000*D30)+(beff-bwfin)*0.01*hf*0.01*fcu/D30+0.0001*As2a*sigmas2e/sigmas1e)</f>
        <v>2.2677214747759336</v>
      </c>
      <c r="E33" s="140" t="s">
        <v>409</v>
      </c>
      <c r="F33" s="141" t="s">
        <v>410</v>
      </c>
      <c r="G33" s="136"/>
      <c r="H33" s="136"/>
      <c r="I33" s="103"/>
      <c r="J33" s="103"/>
      <c r="K33" s="103"/>
      <c r="L33" s="103"/>
      <c r="M33" s="103"/>
      <c r="N33" s="103"/>
      <c r="O33" s="103"/>
      <c r="P33" s="145"/>
      <c r="Q33" s="13"/>
      <c r="S33" s="40"/>
    </row>
    <row r="34" spans="1:20">
      <c r="A34" s="1"/>
      <c r="B34" s="93"/>
      <c r="E34" s="98"/>
      <c r="F34" s="13"/>
      <c r="G34" s="1"/>
      <c r="H34" s="1"/>
      <c r="I34" s="1"/>
      <c r="J34" s="1"/>
      <c r="K34" s="1"/>
      <c r="L34" s="1"/>
      <c r="M34" s="1"/>
      <c r="N34" s="1"/>
      <c r="O34" s="1"/>
      <c r="P34" s="1"/>
    </row>
    <row r="35" spans="1:20">
      <c r="A35" s="1"/>
      <c r="B35" s="93"/>
      <c r="D35" s="163"/>
      <c r="J35" s="13"/>
      <c r="K35" s="19"/>
      <c r="L35" s="4"/>
      <c r="M35" s="4"/>
    </row>
    <row r="36" spans="1:20">
      <c r="A36" s="1"/>
      <c r="B36" s="93"/>
      <c r="F36" s="13"/>
      <c r="G36" s="1"/>
      <c r="H36" s="1"/>
      <c r="P36" s="1"/>
    </row>
    <row r="37" spans="1:20">
      <c r="A37" s="1"/>
      <c r="B37" s="93"/>
    </row>
    <row r="38" spans="1:20">
      <c r="A38" s="1"/>
      <c r="B38" s="93"/>
      <c r="C38" s="1"/>
      <c r="D38" s="1"/>
      <c r="E38" s="1"/>
      <c r="F38" s="14"/>
      <c r="G38" s="1"/>
      <c r="H38" s="1"/>
      <c r="I38" s="1"/>
      <c r="J38" s="13"/>
      <c r="K38" s="19"/>
      <c r="L38" s="4"/>
      <c r="M38" s="4"/>
      <c r="N38" s="1"/>
      <c r="O38" s="1"/>
      <c r="P38" s="1"/>
      <c r="T38" s="1"/>
    </row>
    <row r="39" spans="1:20">
      <c r="A39" s="1"/>
      <c r="B39" s="4"/>
      <c r="C39" s="1"/>
      <c r="D39" s="1"/>
      <c r="E39" s="14"/>
      <c r="F39" s="1"/>
      <c r="G39" s="1"/>
      <c r="H39" s="1"/>
      <c r="I39" s="1"/>
      <c r="J39" s="1"/>
      <c r="K39" s="1"/>
      <c r="L39" s="1"/>
      <c r="M39" s="1"/>
      <c r="N39" s="1"/>
      <c r="O39" s="1"/>
      <c r="P39" s="1"/>
    </row>
    <row r="40" spans="1:20">
      <c r="A40" s="1"/>
      <c r="B40" s="1"/>
      <c r="C40" s="1"/>
      <c r="D40" s="1"/>
      <c r="E40" s="1"/>
      <c r="F40" s="1"/>
      <c r="J40" s="1"/>
      <c r="K40" s="1"/>
      <c r="L40" s="1"/>
      <c r="M40" s="1"/>
      <c r="N40" s="1"/>
      <c r="O40" s="1"/>
      <c r="P40" s="1"/>
    </row>
    <row r="41" spans="1:20">
      <c r="A41" s="1"/>
      <c r="B41" s="1"/>
      <c r="C41" s="1"/>
      <c r="D41" s="1"/>
      <c r="E41" s="92"/>
      <c r="F41" s="1"/>
      <c r="G41" s="1"/>
      <c r="H41" s="1"/>
      <c r="I41" s="1"/>
      <c r="J41" s="1"/>
      <c r="K41" s="1"/>
      <c r="L41" s="1"/>
      <c r="M41" s="1"/>
      <c r="N41" s="1"/>
      <c r="O41" s="1"/>
      <c r="P41" s="1"/>
    </row>
  </sheetData>
  <mergeCells count="13">
    <mergeCell ref="AD23:AG30"/>
    <mergeCell ref="B2:D3"/>
    <mergeCell ref="E2:I2"/>
    <mergeCell ref="B7:E7"/>
    <mergeCell ref="G8:I8"/>
    <mergeCell ref="F14:G14"/>
    <mergeCell ref="H14:I14"/>
    <mergeCell ref="B29:D29"/>
    <mergeCell ref="G16:P16"/>
    <mergeCell ref="G18:I18"/>
    <mergeCell ref="K18:P18"/>
    <mergeCell ref="G20:P20"/>
    <mergeCell ref="I21:J21"/>
  </mergeCells>
  <conditionalFormatting sqref="C14 H14">
    <cfRule type="expression" dxfId="10" priority="1">
      <formula>$C$14&lt;&gt;"&lt;"</formula>
    </cfRule>
    <cfRule type="expression" dxfId="9" priority="2">
      <formula>$C$14="&lt;"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dimension ref="A1:X178"/>
  <sheetViews>
    <sheetView tabSelected="1" zoomScale="85" zoomScaleNormal="85" workbookViewId="0">
      <selection activeCell="O14" sqref="O14"/>
    </sheetView>
  </sheetViews>
  <sheetFormatPr defaultColWidth="11.42578125" defaultRowHeight="14.45"/>
  <cols>
    <col min="2" max="2" width="7.5703125" bestFit="1" customWidth="1"/>
    <col min="3" max="3" width="7.42578125" bestFit="1" customWidth="1"/>
    <col min="4" max="4" width="10.5703125" bestFit="1" customWidth="1"/>
    <col min="5" max="5" width="13.85546875" bestFit="1" customWidth="1"/>
    <col min="6" max="6" width="3.42578125" bestFit="1" customWidth="1"/>
    <col min="7" max="7" width="5" bestFit="1" customWidth="1"/>
    <col min="8" max="8" width="12" bestFit="1" customWidth="1"/>
    <col min="9" max="9" width="11" bestFit="1" customWidth="1"/>
    <col min="12" max="12" width="5" customWidth="1"/>
    <col min="13" max="13" width="6" bestFit="1" customWidth="1"/>
    <col min="14" max="14" width="4.42578125" bestFit="1" customWidth="1"/>
    <col min="15" max="15" width="10.5703125" bestFit="1" customWidth="1"/>
    <col min="16" max="16" width="13.7109375" bestFit="1" customWidth="1"/>
    <col min="17" max="17" width="9.7109375" customWidth="1"/>
    <col min="18" max="18" width="4.42578125" bestFit="1" customWidth="1"/>
    <col min="19" max="19" width="9.5703125" bestFit="1" customWidth="1"/>
    <col min="20" max="20" width="12.85546875" bestFit="1" customWidth="1"/>
    <col min="21" max="21" width="14" customWidth="1"/>
    <col min="22" max="22" width="26.42578125" bestFit="1" customWidth="1"/>
    <col min="23" max="24" width="45.7109375" bestFit="1" customWidth="1"/>
  </cols>
  <sheetData>
    <row r="1" spans="2:24" ht="15" thickBot="1"/>
    <row r="2" spans="2:24" ht="21.6" thickBot="1">
      <c r="B2" s="620" t="s">
        <v>411</v>
      </c>
      <c r="C2" s="621"/>
      <c r="D2" s="621"/>
      <c r="E2" s="621"/>
      <c r="F2" s="621"/>
      <c r="G2" s="621"/>
      <c r="H2" s="621"/>
      <c r="I2" s="622"/>
      <c r="J2" s="30"/>
      <c r="O2" s="617" t="s">
        <v>412</v>
      </c>
      <c r="P2" s="618"/>
      <c r="Q2" s="618"/>
      <c r="R2" s="618"/>
      <c r="S2" s="619"/>
    </row>
    <row r="3" spans="2:24" ht="15" thickBot="1">
      <c r="B3" s="42"/>
      <c r="C3" s="57"/>
      <c r="D3" s="57"/>
      <c r="J3" s="30"/>
    </row>
    <row r="4" spans="2:24" ht="16.149999999999999">
      <c r="B4" s="45" t="s">
        <v>413</v>
      </c>
      <c r="C4" s="45" t="s">
        <v>221</v>
      </c>
      <c r="D4" s="73">
        <f>bw*h+(beff-bw)*hf+alphae*(As1R+As2R)</f>
        <v>1605.9070600388497</v>
      </c>
      <c r="E4" s="616" t="s">
        <v>414</v>
      </c>
      <c r="F4" s="612" t="s">
        <v>415</v>
      </c>
      <c r="G4" s="624"/>
      <c r="H4" s="624"/>
      <c r="I4" s="624"/>
      <c r="J4" s="30"/>
      <c r="M4" s="85" t="s">
        <v>416</v>
      </c>
      <c r="N4" s="86" t="s">
        <v>77</v>
      </c>
      <c r="O4" s="87">
        <f>MIN(2.5*(h-d),(h-xun)/3,h/2)</f>
        <v>10.950934125342529</v>
      </c>
      <c r="P4" s="615" t="s">
        <v>417</v>
      </c>
      <c r="Q4" s="625" t="s">
        <v>418</v>
      </c>
      <c r="R4" s="625"/>
      <c r="S4" s="625"/>
      <c r="T4" s="625"/>
      <c r="U4" s="625"/>
      <c r="V4" s="35"/>
      <c r="W4" s="35"/>
      <c r="X4" s="48"/>
    </row>
    <row r="5" spans="2:24" ht="16.899999999999999">
      <c r="B5" s="21" t="s">
        <v>419</v>
      </c>
      <c r="C5" s="21" t="s">
        <v>77</v>
      </c>
      <c r="D5" s="74">
        <f>(bw*h^2/2+((beff-bw)*hf^2)/2+alphae*(As1R*d+As2R*dp))/Ach</f>
        <v>30.548264619189851</v>
      </c>
      <c r="E5" s="616"/>
      <c r="F5" s="612"/>
      <c r="G5" s="624"/>
      <c r="H5" s="624"/>
      <c r="I5" s="624"/>
      <c r="J5" s="30"/>
      <c r="M5" s="7" t="s">
        <v>420</v>
      </c>
      <c r="N5" s="3" t="s">
        <v>221</v>
      </c>
      <c r="O5" s="64">
        <f>bw*hcef</f>
        <v>273.77335313356326</v>
      </c>
      <c r="P5" s="616"/>
      <c r="Q5" s="610" t="s">
        <v>421</v>
      </c>
      <c r="R5" s="626"/>
      <c r="S5" s="626"/>
      <c r="T5" s="626"/>
      <c r="U5" s="626"/>
      <c r="X5" s="37"/>
    </row>
    <row r="6" spans="2:24" ht="15.6">
      <c r="B6" s="21" t="s">
        <v>422</v>
      </c>
      <c r="C6" s="21" t="s">
        <v>77</v>
      </c>
      <c r="D6" s="74">
        <f>h-vp</f>
        <v>24.451735380810149</v>
      </c>
      <c r="E6" s="616"/>
      <c r="F6" s="612"/>
      <c r="G6" s="624"/>
      <c r="H6" s="624"/>
      <c r="I6" s="624"/>
      <c r="J6" s="30"/>
      <c r="M6" s="8" t="s">
        <v>423</v>
      </c>
      <c r="N6" s="3"/>
      <c r="O6" s="77">
        <f>As1R/Aceff</f>
        <v>5.6228277246105678E-2</v>
      </c>
      <c r="P6" s="616"/>
      <c r="Q6" s="1"/>
      <c r="X6" s="37"/>
    </row>
    <row r="7" spans="2:24" ht="16.149999999999999">
      <c r="B7" s="21" t="s">
        <v>424</v>
      </c>
      <c r="C7" s="21" t="s">
        <v>425</v>
      </c>
      <c r="D7" s="89">
        <f>bw*h^3/3+(beff-bw)*hf^3/3+alphae*(As1R*d^2+As2R*dp^2)-Ach*vp^2</f>
        <v>435471.49698271742</v>
      </c>
      <c r="E7" s="616"/>
      <c r="F7" s="612"/>
      <c r="G7" s="624"/>
      <c r="H7" s="624"/>
      <c r="I7" s="624"/>
      <c r="J7" s="30"/>
      <c r="M7" s="7" t="s">
        <v>253</v>
      </c>
      <c r="N7" s="3"/>
      <c r="O7" s="78">
        <v>0.8</v>
      </c>
      <c r="P7" s="616" t="s">
        <v>426</v>
      </c>
      <c r="Q7" s="639" t="s">
        <v>427</v>
      </c>
      <c r="R7" s="626"/>
      <c r="S7" s="626"/>
      <c r="T7" s="626"/>
      <c r="U7" s="626"/>
      <c r="X7" s="37"/>
    </row>
    <row r="8" spans="2:24" ht="15.6">
      <c r="B8" s="22" t="s">
        <v>428</v>
      </c>
      <c r="C8" s="21" t="s">
        <v>96</v>
      </c>
      <c r="D8" s="74">
        <f>0.001*M_ELS_trav*0.01*v/(Ich*10^(-8))</f>
        <v>14.867965082320135</v>
      </c>
      <c r="E8" s="616"/>
      <c r="F8" s="4"/>
      <c r="G8" s="4"/>
      <c r="H8" s="4"/>
      <c r="I8" s="4"/>
      <c r="J8" s="30"/>
      <c r="M8" s="7" t="s">
        <v>429</v>
      </c>
      <c r="N8" s="3"/>
      <c r="O8" s="60">
        <f>0.5</f>
        <v>0.5</v>
      </c>
      <c r="P8" s="616"/>
      <c r="Q8" s="626"/>
      <c r="R8" s="626"/>
      <c r="S8" s="626"/>
      <c r="T8" s="626"/>
      <c r="U8" s="626"/>
      <c r="X8" s="37"/>
    </row>
    <row r="9" spans="2:24" ht="15.6">
      <c r="B9" s="22" t="s">
        <v>74</v>
      </c>
      <c r="C9" s="504" t="str">
        <f>IF(sigmact&gt;fcteff,"Fissurée","Non fissurée")</f>
        <v>Fissurée</v>
      </c>
      <c r="D9" s="623"/>
      <c r="E9" s="616"/>
      <c r="F9" s="4"/>
      <c r="G9" s="4"/>
      <c r="H9" s="4"/>
      <c r="I9" s="4"/>
      <c r="J9" s="30"/>
      <c r="M9" s="7" t="s">
        <v>430</v>
      </c>
      <c r="N9" s="3"/>
      <c r="O9" s="157">
        <f>IF(cnom&lt;=2.5,3.4,3.4*(25/(10*cnom))^(2/3))</f>
        <v>2.9457629365826499</v>
      </c>
      <c r="P9" s="84" t="s">
        <v>426</v>
      </c>
      <c r="X9" s="37"/>
    </row>
    <row r="10" spans="2:24" ht="36" customHeight="1">
      <c r="B10" s="627" t="s">
        <v>431</v>
      </c>
      <c r="C10" s="627"/>
      <c r="D10" s="61" t="str">
        <f>IF(ChxForçagefiss="Oui","Fissurée",SectELS)</f>
        <v>Fissurée</v>
      </c>
      <c r="E10" s="14"/>
      <c r="F10" s="4"/>
      <c r="G10" s="4"/>
      <c r="H10" s="4"/>
      <c r="I10" s="4"/>
      <c r="J10" s="30"/>
      <c r="M10" s="7" t="s">
        <v>432</v>
      </c>
      <c r="N10" s="3"/>
      <c r="O10" s="60">
        <v>0.42499999999999999</v>
      </c>
      <c r="P10" s="81" t="s">
        <v>426</v>
      </c>
      <c r="V10" s="1"/>
      <c r="W10" s="84" t="s">
        <v>433</v>
      </c>
      <c r="X10" s="211" t="s">
        <v>434</v>
      </c>
    </row>
    <row r="11" spans="2:24" ht="15.6">
      <c r="B11" s="23"/>
      <c r="C11" s="4"/>
      <c r="D11" s="4"/>
      <c r="E11" s="4"/>
      <c r="F11" s="4"/>
      <c r="G11" s="4"/>
      <c r="H11" s="4"/>
      <c r="I11" s="4"/>
      <c r="J11" s="30"/>
      <c r="M11" s="7" t="s">
        <v>435</v>
      </c>
      <c r="N11" s="3"/>
      <c r="O11" s="60">
        <v>0.4</v>
      </c>
      <c r="P11" s="82" t="s">
        <v>436</v>
      </c>
      <c r="Q11" s="639" t="s">
        <v>437</v>
      </c>
      <c r="R11" s="626"/>
      <c r="S11" s="626"/>
      <c r="T11" s="626"/>
      <c r="V11" s="21" t="s">
        <v>438</v>
      </c>
      <c r="W11" s="21" t="s">
        <v>439</v>
      </c>
      <c r="X11" s="41" t="s">
        <v>440</v>
      </c>
    </row>
    <row r="12" spans="2:24" ht="15" thickBot="1">
      <c r="B12" s="500" t="s">
        <v>441</v>
      </c>
      <c r="C12" s="628"/>
      <c r="D12" s="628"/>
      <c r="E12" s="629"/>
      <c r="G12" s="630" t="s">
        <v>442</v>
      </c>
      <c r="H12" s="630"/>
      <c r="I12" s="630"/>
      <c r="J12" s="499"/>
      <c r="M12" s="36"/>
      <c r="N12" s="1"/>
      <c r="O12" s="1"/>
      <c r="P12" s="10"/>
      <c r="Q12" s="626"/>
      <c r="R12" s="626"/>
      <c r="S12" s="626"/>
      <c r="T12" s="626"/>
      <c r="V12" s="21" t="s">
        <v>443</v>
      </c>
      <c r="W12" s="21">
        <v>0.3</v>
      </c>
      <c r="X12" s="5">
        <v>0.4</v>
      </c>
    </row>
    <row r="13" spans="2:24" ht="16.149999999999999">
      <c r="B13" s="22" t="s">
        <v>444</v>
      </c>
      <c r="C13" s="21" t="s">
        <v>445</v>
      </c>
      <c r="D13" s="75">
        <f>beff*hf^2/2+alphae*As2R*(hf-dp)-alphae*As1R*(d-hf)</f>
        <v>-4350.6608632703901</v>
      </c>
      <c r="E13" s="631" t="s">
        <v>446</v>
      </c>
      <c r="G13" s="28" t="s">
        <v>447</v>
      </c>
      <c r="H13" s="29" t="s">
        <v>96</v>
      </c>
      <c r="I13" s="79">
        <f>0.001*M_ELS_trav*0.01*vp/(Ich*10^(-8))</f>
        <v>18.574981473095828</v>
      </c>
      <c r="J13" s="633" t="s">
        <v>448</v>
      </c>
      <c r="M13" s="39"/>
      <c r="V13" s="21" t="s">
        <v>449</v>
      </c>
      <c r="W13" s="21">
        <v>0.3</v>
      </c>
      <c r="X13" s="5">
        <v>0.3</v>
      </c>
    </row>
    <row r="14" spans="2:24" ht="20.45">
      <c r="B14" s="2" t="s">
        <v>450</v>
      </c>
      <c r="C14" s="504" t="str">
        <f>IF(fhf&gt;0,"Positif","Négatif")</f>
        <v>Négatif</v>
      </c>
      <c r="D14" s="504"/>
      <c r="E14" s="632"/>
      <c r="G14" s="26" t="s">
        <v>451</v>
      </c>
      <c r="H14" s="27" t="s">
        <v>96</v>
      </c>
      <c r="I14" s="83">
        <f>alphae*M_ELS_trav*0.001*0.01*(vp-dp)/(Ich*10^(-8))</f>
        <v>223.89990046030218</v>
      </c>
      <c r="J14" s="633"/>
      <c r="M14" s="7" t="s">
        <v>452</v>
      </c>
      <c r="N14" s="3" t="s">
        <v>77</v>
      </c>
      <c r="O14" s="66">
        <f>IF(espacement&lt;=5*(cnom+0.1*phieq/2),k_3*cnom+k_1*k_2*k_4*phieq*0.1/rhoPeff,1.3*(h-xun))</f>
        <v>13.364610825959607</v>
      </c>
      <c r="P14" s="84" t="s">
        <v>453</v>
      </c>
      <c r="Q14" s="638" t="s">
        <v>454</v>
      </c>
      <c r="R14" s="638"/>
      <c r="S14" s="638"/>
      <c r="T14" s="638"/>
      <c r="V14" s="21" t="s">
        <v>455</v>
      </c>
      <c r="W14" s="21">
        <v>0.2</v>
      </c>
      <c r="X14" s="5">
        <v>0.2</v>
      </c>
    </row>
    <row r="15" spans="2:24" ht="16.149999999999999" thickBot="1">
      <c r="B15" s="21" t="s">
        <v>338</v>
      </c>
      <c r="C15" s="21" t="s">
        <v>77</v>
      </c>
      <c r="D15" s="61">
        <f>IF(AND(Section="En té",Signefhf="Positif"),beff,bw)</f>
        <v>25</v>
      </c>
      <c r="E15" s="616" t="s">
        <v>456</v>
      </c>
      <c r="G15" s="24" t="s">
        <v>457</v>
      </c>
      <c r="H15" s="25" t="s">
        <v>96</v>
      </c>
      <c r="I15" s="58">
        <f>alphae*M_ELS_trav*0.001*0.01*(d-vp)/(Ich*10^(-8))</f>
        <v>165.55841351686004</v>
      </c>
      <c r="J15" s="633"/>
      <c r="L15" s="37"/>
      <c r="M15" s="112" t="s">
        <v>458</v>
      </c>
      <c r="N15" s="3" t="s">
        <v>258</v>
      </c>
      <c r="O15" s="64">
        <f>1000*MAX((sigmas1-kt*fcteff/rhoPeff*(1+alphaect*rhoPeff))/Es,0.6*sigmas1/Es)</f>
        <v>1.9680283301373129</v>
      </c>
      <c r="P15" s="82" t="s">
        <v>459</v>
      </c>
      <c r="V15" s="21" t="s">
        <v>460</v>
      </c>
      <c r="W15" s="3" t="s">
        <v>461</v>
      </c>
      <c r="X15" s="5" t="s">
        <v>461</v>
      </c>
    </row>
    <row r="16" spans="2:24" ht="16.149999999999999" thickBot="1">
      <c r="B16" s="21" t="s">
        <v>462</v>
      </c>
      <c r="C16" s="21" t="s">
        <v>77</v>
      </c>
      <c r="D16" s="61">
        <f>IF(Section=1,bw,beff)</f>
        <v>25</v>
      </c>
      <c r="E16" s="616"/>
      <c r="F16" s="4"/>
      <c r="G16" s="4"/>
      <c r="H16" s="4"/>
      <c r="I16" s="4"/>
      <c r="J16" s="30"/>
      <c r="M16" s="39"/>
      <c r="X16" s="37"/>
    </row>
    <row r="17" spans="1:24" ht="16.149999999999999" thickBot="1">
      <c r="B17" s="634"/>
      <c r="C17" s="634"/>
      <c r="D17" s="634"/>
      <c r="E17" s="634"/>
      <c r="F17" s="4"/>
      <c r="G17" s="4"/>
      <c r="H17" s="4"/>
      <c r="I17" s="4"/>
      <c r="J17" s="30"/>
      <c r="M17" s="31" t="s">
        <v>463</v>
      </c>
      <c r="N17" s="32" t="s">
        <v>131</v>
      </c>
      <c r="O17" s="166">
        <f>10*srmax*0.001*diffeps</f>
        <v>0.26301932726748339</v>
      </c>
      <c r="P17" s="32" t="str">
        <f>IF(wk&lt;wkmax,"&lt;","&gt;")</f>
        <v>&gt;</v>
      </c>
      <c r="Q17" s="32" t="s">
        <v>464</v>
      </c>
      <c r="R17" s="32" t="s">
        <v>131</v>
      </c>
      <c r="S17" s="167">
        <f>IF(Chxwkmax=3,wkmaxdonné,IF(Chxwkmax=1,LOOKUP(expow,V12:V15,W12:W15),LOOKUP(expow,V12:V15,X12:X15)))</f>
        <v>0.2</v>
      </c>
      <c r="T17" s="88" t="s">
        <v>465</v>
      </c>
      <c r="U17" s="15"/>
      <c r="V17" s="15"/>
      <c r="W17" s="15"/>
      <c r="X17" s="38"/>
    </row>
    <row r="18" spans="1:24">
      <c r="B18" s="21" t="s">
        <v>466</v>
      </c>
      <c r="C18" s="21"/>
      <c r="D18" s="72">
        <f>bwfin/2</f>
        <v>12.5</v>
      </c>
      <c r="E18" s="616" t="s">
        <v>467</v>
      </c>
      <c r="F18" s="612" t="s">
        <v>468</v>
      </c>
      <c r="G18" s="613"/>
      <c r="H18" s="613"/>
      <c r="I18" s="613"/>
      <c r="J18" s="30"/>
      <c r="Q18" s="1"/>
      <c r="R18" s="1"/>
      <c r="S18" s="1"/>
    </row>
    <row r="19" spans="1:24">
      <c r="B19" s="21" t="s">
        <v>469</v>
      </c>
      <c r="C19" s="21"/>
      <c r="D19" s="75">
        <f>(befffin-bwfin)*hf+alphae*(As1R+As2R)</f>
        <v>230.90706003884983</v>
      </c>
      <c r="E19" s="616"/>
      <c r="F19" s="614"/>
      <c r="G19" s="613"/>
      <c r="H19" s="613"/>
      <c r="I19" s="613"/>
      <c r="J19" s="30"/>
      <c r="M19" s="40"/>
    </row>
    <row r="20" spans="1:24">
      <c r="B20" s="21" t="s">
        <v>470</v>
      </c>
      <c r="C20" s="21"/>
      <c r="D20" s="75">
        <f>-((befffin-bwfin)*hf^2/2+alphae*(As1R*d+As2R*dp))</f>
        <v>-11245.173823891988</v>
      </c>
      <c r="E20" s="616"/>
      <c r="F20" s="614"/>
      <c r="G20" s="613"/>
      <c r="H20" s="613"/>
      <c r="I20" s="613"/>
      <c r="J20" s="30"/>
      <c r="P20" s="33"/>
    </row>
    <row r="21" spans="1:24">
      <c r="B21" s="22" t="s">
        <v>471</v>
      </c>
      <c r="C21" s="21"/>
      <c r="D21" s="75">
        <f>bé^2-4*ah*cé</f>
        <v>615576.76157038438</v>
      </c>
      <c r="E21" s="616"/>
      <c r="F21" s="614"/>
      <c r="G21" s="613"/>
      <c r="H21" s="613"/>
      <c r="I21" s="613"/>
      <c r="J21" s="30"/>
      <c r="M21" s="40"/>
    </row>
    <row r="22" spans="1:24">
      <c r="B22" s="22" t="s">
        <v>472</v>
      </c>
      <c r="C22" s="21" t="s">
        <v>77</v>
      </c>
      <c r="D22" s="72">
        <f>(-bé+SQRT(delta))/(2*ah)</f>
        <v>22.14719762397241</v>
      </c>
      <c r="E22" s="616"/>
      <c r="F22" s="610" t="s">
        <v>473</v>
      </c>
      <c r="G22" s="611"/>
      <c r="H22" s="611"/>
      <c r="I22" s="611"/>
      <c r="J22" s="30"/>
    </row>
    <row r="23" spans="1:24">
      <c r="B23" s="634"/>
      <c r="C23" s="634"/>
      <c r="D23" s="634"/>
      <c r="E23" s="634"/>
      <c r="F23" s="4"/>
      <c r="G23" s="4"/>
      <c r="H23" s="4"/>
      <c r="I23" s="4"/>
      <c r="J23" s="30"/>
    </row>
    <row r="24" spans="1:24" ht="16.149999999999999">
      <c r="B24" s="21" t="s">
        <v>474</v>
      </c>
      <c r="C24" s="21" t="s">
        <v>425</v>
      </c>
      <c r="D24" s="75">
        <f>befffin*xun^3/3-(befffin-bwfin)*(xun-hf)^3/3+alphae*As2R*(xun-dp)^2+alphae*As1R*(d-xun)^2</f>
        <v>253327.69418557928</v>
      </c>
      <c r="E24" s="616" t="s">
        <v>467</v>
      </c>
      <c r="F24" s="4"/>
      <c r="G24" s="4"/>
      <c r="H24" s="4"/>
      <c r="I24" s="4"/>
      <c r="J24" s="30"/>
    </row>
    <row r="25" spans="1:24">
      <c r="B25" s="21" t="s">
        <v>475</v>
      </c>
      <c r="C25" s="21" t="s">
        <v>476</v>
      </c>
      <c r="D25" s="67">
        <f>0.001*M_ELS_trav/(Icf*10^(-8))</f>
        <v>104.52469511920945</v>
      </c>
      <c r="E25" s="616"/>
      <c r="F25" s="610" t="s">
        <v>477</v>
      </c>
      <c r="G25" s="611"/>
      <c r="H25" s="611"/>
      <c r="I25" s="611"/>
      <c r="J25" s="30"/>
    </row>
    <row r="26" spans="1:24" ht="15" thickBot="1">
      <c r="B26" s="635"/>
      <c r="C26" s="635"/>
      <c r="D26" s="635"/>
      <c r="E26" s="634"/>
      <c r="F26" s="4"/>
      <c r="G26" s="4"/>
      <c r="H26" s="4"/>
      <c r="I26" s="4"/>
      <c r="J26" s="30"/>
    </row>
    <row r="27" spans="1:24" ht="15.6">
      <c r="B27" s="28" t="s">
        <v>447</v>
      </c>
      <c r="C27" s="29" t="s">
        <v>96</v>
      </c>
      <c r="D27" s="62">
        <f>K*xun*0.01</f>
        <v>23.149290793905962</v>
      </c>
      <c r="E27" s="633" t="s">
        <v>467</v>
      </c>
      <c r="F27" s="612" t="s">
        <v>478</v>
      </c>
      <c r="G27" s="613"/>
      <c r="H27" s="613"/>
      <c r="I27" s="613"/>
      <c r="J27" s="30"/>
    </row>
    <row r="28" spans="1:24" ht="15.6">
      <c r="B28" s="26" t="s">
        <v>451</v>
      </c>
      <c r="C28" s="27" t="s">
        <v>96</v>
      </c>
      <c r="D28" s="76">
        <f>alphae*K*0.01*(xun-dp)</f>
        <v>253.16713630130096</v>
      </c>
      <c r="E28" s="633"/>
      <c r="F28" s="614"/>
      <c r="G28" s="613"/>
      <c r="H28" s="613"/>
      <c r="I28" s="613"/>
      <c r="J28" s="30"/>
    </row>
    <row r="29" spans="1:24" ht="16.149999999999999" thickBot="1">
      <c r="B29" s="24" t="s">
        <v>457</v>
      </c>
      <c r="C29" s="25" t="s">
        <v>96</v>
      </c>
      <c r="D29" s="63">
        <f>alphae*K*0.01*(d-xun)</f>
        <v>416.31353593723571</v>
      </c>
      <c r="E29" s="633"/>
      <c r="F29" s="614"/>
      <c r="G29" s="613"/>
      <c r="H29" s="613"/>
      <c r="I29" s="613"/>
      <c r="J29" s="30"/>
    </row>
    <row r="30" spans="1:24" ht="15" thickBot="1">
      <c r="B30" s="4"/>
      <c r="C30" s="4"/>
      <c r="D30" s="4"/>
      <c r="E30" s="4"/>
      <c r="F30" s="4"/>
      <c r="G30" s="4"/>
      <c r="H30" s="4"/>
      <c r="I30" s="4"/>
      <c r="J30" s="30"/>
    </row>
    <row r="31" spans="1:24" ht="16.149999999999999" thickBot="1">
      <c r="A31" s="636" t="s">
        <v>479</v>
      </c>
      <c r="B31" s="637"/>
      <c r="C31" s="28" t="s">
        <v>447</v>
      </c>
      <c r="D31" s="29" t="s">
        <v>96</v>
      </c>
      <c r="E31" s="62">
        <f>IF(SectELSfin="Fissurée",sigmacfiss,sigmacnfiss)</f>
        <v>23.149290793905962</v>
      </c>
      <c r="J31" s="30"/>
    </row>
    <row r="32" spans="1:24" ht="15.6">
      <c r="B32" s="4"/>
      <c r="C32" s="26" t="s">
        <v>451</v>
      </c>
      <c r="D32" s="27" t="s">
        <v>96</v>
      </c>
      <c r="E32" s="76">
        <f>IF(SectELSfin="Fissurée",sigmas2fiss,sigmas2nfiss)</f>
        <v>253.16713630130096</v>
      </c>
      <c r="J32" s="30"/>
    </row>
    <row r="33" spans="2:10" ht="16.149999999999999" thickBot="1">
      <c r="B33" s="4"/>
      <c r="C33" s="24" t="s">
        <v>457</v>
      </c>
      <c r="D33" s="25" t="s">
        <v>96</v>
      </c>
      <c r="E33" s="63">
        <f>IF(SectELSfin="Fissurée",sigmas1fiss,sigmas1nfiss)</f>
        <v>416.31353593723571</v>
      </c>
      <c r="J33" s="30"/>
    </row>
    <row r="34" spans="2:10">
      <c r="B34" s="4"/>
      <c r="J34" s="30"/>
    </row>
    <row r="35" spans="2:10">
      <c r="J35" s="30"/>
    </row>
    <row r="36" spans="2:10">
      <c r="J36" s="30"/>
    </row>
    <row r="37" spans="2:10">
      <c r="J37" s="30"/>
    </row>
    <row r="38" spans="2:10">
      <c r="J38" s="30"/>
    </row>
    <row r="39" spans="2:10">
      <c r="J39" s="30"/>
    </row>
    <row r="40" spans="2:10">
      <c r="J40" s="30"/>
    </row>
    <row r="41" spans="2:10">
      <c r="J41" s="30"/>
    </row>
    <row r="42" spans="2:10">
      <c r="J42" s="30"/>
    </row>
    <row r="43" spans="2:10">
      <c r="J43" s="30"/>
    </row>
    <row r="44" spans="2:10">
      <c r="J44" s="30"/>
    </row>
    <row r="45" spans="2:10">
      <c r="J45" s="30"/>
    </row>
    <row r="46" spans="2:10">
      <c r="J46" s="30"/>
    </row>
    <row r="47" spans="2:10">
      <c r="J47" s="30"/>
    </row>
    <row r="48" spans="2:10">
      <c r="J48" s="30"/>
    </row>
    <row r="49" spans="10:10">
      <c r="J49" s="30"/>
    </row>
    <row r="50" spans="10:10">
      <c r="J50" s="30"/>
    </row>
    <row r="51" spans="10:10">
      <c r="J51" s="30"/>
    </row>
    <row r="52" spans="10:10">
      <c r="J52" s="30"/>
    </row>
    <row r="53" spans="10:10">
      <c r="J53" s="30"/>
    </row>
    <row r="54" spans="10:10">
      <c r="J54" s="30"/>
    </row>
    <row r="55" spans="10:10">
      <c r="J55" s="30"/>
    </row>
    <row r="56" spans="10:10">
      <c r="J56" s="30"/>
    </row>
    <row r="57" spans="10:10">
      <c r="J57" s="30"/>
    </row>
    <row r="58" spans="10:10">
      <c r="J58" s="30"/>
    </row>
    <row r="59" spans="10:10">
      <c r="J59" s="30"/>
    </row>
    <row r="60" spans="10:10">
      <c r="J60" s="30"/>
    </row>
    <row r="61" spans="10:10">
      <c r="J61" s="30"/>
    </row>
    <row r="62" spans="10:10">
      <c r="J62" s="30"/>
    </row>
    <row r="63" spans="10:10">
      <c r="J63" s="30"/>
    </row>
    <row r="64" spans="10:10">
      <c r="J64" s="30"/>
    </row>
    <row r="65" spans="10:10">
      <c r="J65" s="30"/>
    </row>
    <row r="66" spans="10:10">
      <c r="J66" s="30"/>
    </row>
    <row r="67" spans="10:10">
      <c r="J67" s="30"/>
    </row>
    <row r="68" spans="10:10">
      <c r="J68" s="30"/>
    </row>
    <row r="69" spans="10:10">
      <c r="J69" s="30"/>
    </row>
    <row r="70" spans="10:10">
      <c r="J70" s="30"/>
    </row>
    <row r="71" spans="10:10">
      <c r="J71" s="30"/>
    </row>
    <row r="72" spans="10:10">
      <c r="J72" s="30"/>
    </row>
    <row r="73" spans="10:10">
      <c r="J73" s="30"/>
    </row>
    <row r="74" spans="10:10">
      <c r="J74" s="30"/>
    </row>
    <row r="75" spans="10:10">
      <c r="J75" s="30"/>
    </row>
    <row r="76" spans="10:10">
      <c r="J76" s="30"/>
    </row>
    <row r="77" spans="10:10">
      <c r="J77" s="30"/>
    </row>
    <row r="78" spans="10:10">
      <c r="J78" s="30"/>
    </row>
    <row r="79" spans="10:10">
      <c r="J79" s="30"/>
    </row>
    <row r="80" spans="10:10">
      <c r="J80" s="30"/>
    </row>
    <row r="81" spans="10:10">
      <c r="J81" s="30"/>
    </row>
    <row r="82" spans="10:10">
      <c r="J82" s="30"/>
    </row>
    <row r="83" spans="10:10">
      <c r="J83" s="30"/>
    </row>
    <row r="84" spans="10:10">
      <c r="J84" s="30"/>
    </row>
    <row r="85" spans="10:10">
      <c r="J85" s="30"/>
    </row>
    <row r="86" spans="10:10">
      <c r="J86" s="30"/>
    </row>
    <row r="87" spans="10:10">
      <c r="J87" s="30"/>
    </row>
    <row r="88" spans="10:10">
      <c r="J88" s="30"/>
    </row>
    <row r="89" spans="10:10">
      <c r="J89" s="30"/>
    </row>
    <row r="90" spans="10:10">
      <c r="J90" s="30"/>
    </row>
    <row r="91" spans="10:10">
      <c r="J91" s="30"/>
    </row>
    <row r="92" spans="10:10">
      <c r="J92" s="30"/>
    </row>
    <row r="93" spans="10:10">
      <c r="J93" s="30"/>
    </row>
    <row r="94" spans="10:10">
      <c r="J94" s="30"/>
    </row>
    <row r="95" spans="10:10">
      <c r="J95" s="30"/>
    </row>
    <row r="96" spans="10:10">
      <c r="J96" s="30"/>
    </row>
    <row r="97" spans="10:10">
      <c r="J97" s="30"/>
    </row>
    <row r="98" spans="10:10">
      <c r="J98" s="30"/>
    </row>
    <row r="99" spans="10:10">
      <c r="J99" s="30"/>
    </row>
    <row r="100" spans="10:10">
      <c r="J100" s="30"/>
    </row>
    <row r="101" spans="10:10">
      <c r="J101" s="30"/>
    </row>
    <row r="102" spans="10:10">
      <c r="J102" s="30"/>
    </row>
    <row r="103" spans="10:10">
      <c r="J103" s="30"/>
    </row>
    <row r="104" spans="10:10">
      <c r="J104" s="30"/>
    </row>
    <row r="105" spans="10:10">
      <c r="J105" s="30"/>
    </row>
    <row r="106" spans="10:10">
      <c r="J106" s="30"/>
    </row>
    <row r="107" spans="10:10">
      <c r="J107" s="30"/>
    </row>
    <row r="108" spans="10:10">
      <c r="J108" s="30"/>
    </row>
    <row r="109" spans="10:10">
      <c r="J109" s="30"/>
    </row>
    <row r="110" spans="10:10">
      <c r="J110" s="30"/>
    </row>
    <row r="111" spans="10:10">
      <c r="J111" s="30"/>
    </row>
    <row r="112" spans="10:10">
      <c r="J112" s="30"/>
    </row>
    <row r="113" spans="10:10">
      <c r="J113" s="30"/>
    </row>
    <row r="114" spans="10:10">
      <c r="J114" s="30"/>
    </row>
    <row r="115" spans="10:10">
      <c r="J115" s="30"/>
    </row>
    <row r="116" spans="10:10">
      <c r="J116" s="30"/>
    </row>
    <row r="117" spans="10:10">
      <c r="J117" s="30"/>
    </row>
    <row r="118" spans="10:10">
      <c r="J118" s="30"/>
    </row>
    <row r="119" spans="10:10">
      <c r="J119" s="30"/>
    </row>
    <row r="120" spans="10:10">
      <c r="J120" s="30"/>
    </row>
    <row r="121" spans="10:10">
      <c r="J121" s="30"/>
    </row>
    <row r="122" spans="10:10">
      <c r="J122" s="30"/>
    </row>
    <row r="123" spans="10:10">
      <c r="J123" s="30"/>
    </row>
    <row r="124" spans="10:10">
      <c r="J124" s="30"/>
    </row>
    <row r="125" spans="10:10">
      <c r="J125" s="30"/>
    </row>
    <row r="126" spans="10:10">
      <c r="J126" s="30"/>
    </row>
    <row r="127" spans="10:10">
      <c r="J127" s="30"/>
    </row>
    <row r="128" spans="10:10">
      <c r="J128" s="30"/>
    </row>
    <row r="129" spans="10:10">
      <c r="J129" s="30"/>
    </row>
    <row r="130" spans="10:10">
      <c r="J130" s="30"/>
    </row>
    <row r="131" spans="10:10">
      <c r="J131" s="30"/>
    </row>
    <row r="132" spans="10:10">
      <c r="J132" s="30"/>
    </row>
    <row r="133" spans="10:10">
      <c r="J133" s="30"/>
    </row>
    <row r="134" spans="10:10">
      <c r="J134" s="30"/>
    </row>
    <row r="135" spans="10:10">
      <c r="J135" s="30"/>
    </row>
    <row r="136" spans="10:10">
      <c r="J136" s="30"/>
    </row>
    <row r="137" spans="10:10">
      <c r="J137" s="30"/>
    </row>
    <row r="138" spans="10:10">
      <c r="J138" s="30"/>
    </row>
    <row r="139" spans="10:10">
      <c r="J139" s="30"/>
    </row>
    <row r="140" spans="10:10">
      <c r="J140" s="30"/>
    </row>
    <row r="141" spans="10:10">
      <c r="J141" s="30"/>
    </row>
    <row r="142" spans="10:10">
      <c r="J142" s="30"/>
    </row>
    <row r="143" spans="10:10">
      <c r="J143" s="30"/>
    </row>
    <row r="144" spans="10:10">
      <c r="J144" s="30"/>
    </row>
    <row r="145" spans="10:10">
      <c r="J145" s="30"/>
    </row>
    <row r="146" spans="10:10">
      <c r="J146" s="30"/>
    </row>
    <row r="147" spans="10:10">
      <c r="J147" s="30"/>
    </row>
    <row r="148" spans="10:10">
      <c r="J148" s="30"/>
    </row>
    <row r="149" spans="10:10">
      <c r="J149" s="30"/>
    </row>
    <row r="150" spans="10:10">
      <c r="J150" s="30"/>
    </row>
    <row r="151" spans="10:10">
      <c r="J151" s="30"/>
    </row>
    <row r="152" spans="10:10">
      <c r="J152" s="30"/>
    </row>
    <row r="153" spans="10:10">
      <c r="J153" s="30"/>
    </row>
    <row r="154" spans="10:10">
      <c r="J154" s="30"/>
    </row>
    <row r="155" spans="10:10">
      <c r="J155" s="30"/>
    </row>
    <row r="156" spans="10:10">
      <c r="J156" s="30"/>
    </row>
    <row r="157" spans="10:10">
      <c r="J157" s="30"/>
    </row>
    <row r="158" spans="10:10">
      <c r="J158" s="30"/>
    </row>
    <row r="159" spans="10:10">
      <c r="J159" s="30"/>
    </row>
    <row r="160" spans="10:10">
      <c r="J160" s="30"/>
    </row>
    <row r="161" spans="10:10">
      <c r="J161" s="30"/>
    </row>
    <row r="162" spans="10:10">
      <c r="J162" s="30"/>
    </row>
    <row r="163" spans="10:10">
      <c r="J163" s="30"/>
    </row>
    <row r="164" spans="10:10">
      <c r="J164" s="30"/>
    </row>
    <row r="165" spans="10:10">
      <c r="J165" s="30"/>
    </row>
    <row r="166" spans="10:10">
      <c r="J166" s="30"/>
    </row>
    <row r="167" spans="10:10">
      <c r="J167" s="30"/>
    </row>
    <row r="168" spans="10:10">
      <c r="J168" s="30"/>
    </row>
    <row r="169" spans="10:10">
      <c r="J169" s="30"/>
    </row>
    <row r="170" spans="10:10">
      <c r="J170" s="30"/>
    </row>
    <row r="171" spans="10:10">
      <c r="J171" s="30"/>
    </row>
    <row r="172" spans="10:10">
      <c r="J172" s="30"/>
    </row>
    <row r="173" spans="10:10">
      <c r="J173" s="30"/>
    </row>
    <row r="174" spans="10:10">
      <c r="J174" s="30"/>
    </row>
    <row r="175" spans="10:10">
      <c r="J175" s="30"/>
    </row>
    <row r="176" spans="10:10">
      <c r="J176" s="30"/>
    </row>
    <row r="177" spans="10:10">
      <c r="J177" s="30"/>
    </row>
    <row r="178" spans="10:10">
      <c r="J178" s="30"/>
    </row>
  </sheetData>
  <mergeCells count="30">
    <mergeCell ref="Q14:T14"/>
    <mergeCell ref="Q11:T12"/>
    <mergeCell ref="Q7:U8"/>
    <mergeCell ref="B17:E17"/>
    <mergeCell ref="E18:E22"/>
    <mergeCell ref="F22:I22"/>
    <mergeCell ref="F18:I21"/>
    <mergeCell ref="C14:D14"/>
    <mergeCell ref="E15:E16"/>
    <mergeCell ref="B23:E23"/>
    <mergeCell ref="E24:E25"/>
    <mergeCell ref="B26:E26"/>
    <mergeCell ref="E27:E29"/>
    <mergeCell ref="A31:B31"/>
    <mergeCell ref="F25:I25"/>
    <mergeCell ref="F27:I29"/>
    <mergeCell ref="P4:P6"/>
    <mergeCell ref="O2:S2"/>
    <mergeCell ref="B2:I2"/>
    <mergeCell ref="E4:E9"/>
    <mergeCell ref="C9:D9"/>
    <mergeCell ref="F4:I7"/>
    <mergeCell ref="Q4:U4"/>
    <mergeCell ref="Q5:U5"/>
    <mergeCell ref="B10:C10"/>
    <mergeCell ref="P7:P8"/>
    <mergeCell ref="B12:E12"/>
    <mergeCell ref="G12:J12"/>
    <mergeCell ref="E13:E14"/>
    <mergeCell ref="J13:J15"/>
  </mergeCells>
  <conditionalFormatting sqref="G12:J12 G13:I15">
    <cfRule type="expression" dxfId="8" priority="16">
      <formula>SectELSfin="Fissurée"</formula>
    </cfRule>
  </conditionalFormatting>
  <conditionalFormatting sqref="B12:E12 B13:D13 B15:D16 C14 B18:D22 B24:D25 B27:D29">
    <cfRule type="expression" dxfId="7" priority="15">
      <formula>SectELSfin&lt;&gt;"Fissurée"</formula>
    </cfRule>
  </conditionalFormatting>
  <conditionalFormatting sqref="M6:X6 M4:Q5 V4:X5 M7:P12 V7:X11 M16:T16 U12:X16 P17 T17 M14:P15 S15 M2:X3">
    <cfRule type="expression" dxfId="6" priority="7">
      <formula>ChxCombiELS="Caractéristique"</formula>
    </cfRule>
  </conditionalFormatting>
  <conditionalFormatting sqref="P20">
    <cfRule type="expression" dxfId="5" priority="6">
      <formula>ChxCombiELS="Caractéristique"</formula>
    </cfRule>
  </conditionalFormatting>
  <conditionalFormatting sqref="Q11">
    <cfRule type="expression" dxfId="4" priority="5">
      <formula>ChxCombiELS="Caractéristique"</formula>
    </cfRule>
  </conditionalFormatting>
  <conditionalFormatting sqref="Q7">
    <cfRule type="expression" dxfId="3" priority="4">
      <formula>ChxCombiELS="Caractéristique"</formula>
    </cfRule>
  </conditionalFormatting>
  <conditionalFormatting sqref="Q14">
    <cfRule type="expression" dxfId="2" priority="3">
      <formula>ChxCombiELS="Caractéristique"</formula>
    </cfRule>
  </conditionalFormatting>
  <conditionalFormatting sqref="R15">
    <cfRule type="expression" dxfId="1" priority="2">
      <formula>ChxCombiELS="Caractéristique"</formula>
    </cfRule>
  </conditionalFormatting>
  <conditionalFormatting sqref="T15">
    <cfRule type="expression" dxfId="0" priority="1">
      <formula>ChxCombiELS="Caractéristique"</formula>
    </cfRule>
  </conditionalFormatting>
  <dataValidations disablePrompts="1" count="1">
    <dataValidation type="list" allowBlank="1" showInputMessage="1" showErrorMessage="1" sqref="C11:D11" xr:uid="{00000000-0002-0000-0700-000000000000}">
      <formula1>Fissuration?</formula1>
    </dataValidation>
  </dataValidation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 Online</Application>
  <Manager/>
  <Company>ARTELIAGROUP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THEBAULT Jerome</dc:creator>
  <cp:keywords/>
  <dc:description/>
  <cp:lastModifiedBy>LOYSEL Arthur</cp:lastModifiedBy>
  <cp:revision/>
  <dcterms:created xsi:type="dcterms:W3CDTF">2017-04-06T14:27:28Z</dcterms:created>
  <dcterms:modified xsi:type="dcterms:W3CDTF">2024-10-25T04:04:58Z</dcterms:modified>
  <cp:category/>
  <cp:contentStatus/>
</cp:coreProperties>
</file>