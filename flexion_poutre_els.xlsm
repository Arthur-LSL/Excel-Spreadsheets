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age_2A\standardisation_artelia\Notice\Flexion\Poutre\"/>
    </mc:Choice>
  </mc:AlternateContent>
  <xr:revisionPtr revIDLastSave="2" documentId="13_ncr:1_{73BA1AA4-5A53-4D4E-8AE0-FE070C2CECAF}" xr6:coauthVersionLast="47" xr6:coauthVersionMax="47" xr10:uidLastSave="{FF65FA38-5F88-4DB5-8596-AF1E753ACC5E}"/>
  <bookViews>
    <workbookView xWindow="-108" yWindow="-108" windowWidth="23256" windowHeight="14016" firstSheet="1" xr2:uid="{AC885798-D68F-4AC6-8036-A608BC1FBF23}"/>
  </bookViews>
  <sheets>
    <sheet name="Manuel d'utilisation" sheetId="3" r:id="rId1"/>
    <sheet name="Section rectangulaire" sheetId="1" r:id="rId2"/>
    <sheet name="Section en T" sheetId="2" r:id="rId3"/>
  </sheets>
  <definedNames>
    <definedName name="_xlnm.Print_Area" localSheetId="2">'Section en T'!$A$25:$G$61</definedName>
    <definedName name="_xlnm.Print_Area" localSheetId="1">'Section rectangulaire'!$A$25:$F$59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1" l="1"/>
  <c r="C40" i="1" a="1"/>
  <c r="C54" i="2" a="1"/>
  <c r="C33" i="2" a="1"/>
  <c r="C54" i="1" a="1"/>
  <c r="C37" i="1" a="1"/>
  <c r="C35" i="2" a="1"/>
  <c r="C53" i="1" a="1"/>
  <c r="C57" i="2" a="1"/>
  <c r="C58" i="1" a="1"/>
  <c r="C33" i="1" a="1"/>
  <c r="C34" i="2" a="1"/>
  <c r="C60" i="2" a="1"/>
  <c r="C43" i="2" a="1"/>
  <c r="C55" i="2" a="1"/>
  <c r="C51" i="2" a="1"/>
  <c r="C31" i="2" a="1"/>
  <c r="C41" i="1" a="1"/>
  <c r="C49" i="1" a="1"/>
  <c r="C56" i="2" a="1"/>
  <c r="C47" i="2" a="1"/>
  <c r="C50" i="2" a="1"/>
  <c r="C45" i="1" a="1"/>
  <c r="C36" i="2" a="1"/>
  <c r="C55" i="1" a="1"/>
  <c r="C34" i="1" a="1"/>
  <c r="C32" i="2" a="1"/>
  <c r="C44" i="2" a="1"/>
  <c r="C42" i="1" a="1"/>
  <c r="C31" i="1" a="1"/>
  <c r="C42" i="2" a="1"/>
  <c r="C48" i="1" a="1"/>
  <c r="C52" i="1" a="1"/>
  <c r="C32" i="1" a="1"/>
  <c r="C39" i="2" a="1"/>
  <c r="C32" i="1" l="1"/>
  <c r="C41" i="1"/>
  <c r="C52" i="1"/>
  <c r="C33" i="1"/>
  <c r="C53" i="1"/>
  <c r="C31" i="1"/>
  <c r="C34" i="1"/>
  <c r="C42" i="1"/>
  <c r="C45" i="1"/>
  <c r="C54" i="1"/>
  <c r="C37" i="1"/>
  <c r="C49" i="1"/>
  <c r="C55" i="1"/>
  <c r="C40" i="1"/>
  <c r="C48" i="1"/>
  <c r="C58" i="1"/>
  <c r="C47" i="2"/>
  <c r="C50" i="2"/>
  <c r="C34" i="2"/>
  <c r="C44" i="2"/>
  <c r="C51" i="2"/>
  <c r="C31" i="2"/>
  <c r="C43" i="2"/>
  <c r="C54" i="2"/>
  <c r="C32" i="2"/>
  <c r="C42" i="2"/>
  <c r="C55" i="2"/>
  <c r="C36" i="2"/>
  <c r="C56" i="2"/>
  <c r="C33" i="2"/>
  <c r="C39" i="2"/>
  <c r="C57" i="2"/>
  <c r="C35" i="2"/>
  <c r="C60" i="2"/>
  <c r="F13" i="1"/>
  <c r="M12" i="1"/>
  <c r="Q11" i="1"/>
  <c r="M11" i="1" l="1"/>
  <c r="M13" i="1"/>
  <c r="M14" i="1"/>
  <c r="U11" i="1" a="1"/>
  <c r="U11" i="1" l="1"/>
  <c r="W13" i="2"/>
  <c r="W14" i="2"/>
  <c r="W15" i="2"/>
  <c r="W12" i="2"/>
  <c r="W11" i="2"/>
  <c r="AB15" i="2"/>
  <c r="AC15" i="2" s="1"/>
  <c r="R15" i="2"/>
  <c r="O15" i="2"/>
  <c r="L15" i="2"/>
  <c r="V15" i="2" s="1"/>
  <c r="T12" i="1"/>
  <c r="T13" i="1"/>
  <c r="T14" i="1"/>
  <c r="T11" i="1"/>
  <c r="O13" i="2"/>
  <c r="O14" i="2"/>
  <c r="O11" i="2"/>
  <c r="AB14" i="2"/>
  <c r="AC14" i="2" s="1"/>
  <c r="R14" i="2"/>
  <c r="L14" i="2"/>
  <c r="AB13" i="2"/>
  <c r="AC13" i="2" s="1"/>
  <c r="R13" i="2"/>
  <c r="L13" i="2"/>
  <c r="AB12" i="2"/>
  <c r="AC12" i="2" s="1"/>
  <c r="R12" i="2"/>
  <c r="O12" i="2"/>
  <c r="L12" i="2"/>
  <c r="AB11" i="2"/>
  <c r="AC11" i="2" s="1"/>
  <c r="R11" i="2"/>
  <c r="L11" i="2"/>
  <c r="V11" i="2" s="1"/>
  <c r="U12" i="2" a="1"/>
  <c r="T12" i="2" a="1"/>
  <c r="T14" i="2" a="1"/>
  <c r="T11" i="2" a="1"/>
  <c r="T13" i="2" a="1"/>
  <c r="U14" i="2" a="1"/>
  <c r="S13" i="2" a="1"/>
  <c r="S12" i="2" a="1"/>
  <c r="T15" i="2" a="1"/>
  <c r="U11" i="2" a="1"/>
  <c r="U13" i="2" a="1"/>
  <c r="Y13" i="2" a="1"/>
  <c r="M13" i="2" a="1"/>
  <c r="X13" i="2" a="1"/>
  <c r="X14" i="2" a="1"/>
  <c r="M14" i="2" a="1"/>
  <c r="Y14" i="2" a="1"/>
  <c r="S15" i="2" a="1"/>
  <c r="X11" i="2" a="1"/>
  <c r="Y11" i="2" a="1"/>
  <c r="M11" i="2" a="1"/>
  <c r="S11" i="2" a="1"/>
  <c r="S14" i="2" a="1"/>
  <c r="U15" i="2" a="1"/>
  <c r="M12" i="2" a="1"/>
  <c r="Y12" i="2" a="1"/>
  <c r="X12" i="2" a="1"/>
  <c r="X15" i="2" a="1"/>
  <c r="M15" i="2" a="1"/>
  <c r="Y15" i="2" a="1"/>
  <c r="Y15" i="2" l="1"/>
  <c r="M15" i="2"/>
  <c r="X15" i="2"/>
  <c r="X12" i="2"/>
  <c r="Y12" i="2"/>
  <c r="M12" i="2"/>
  <c r="M11" i="2"/>
  <c r="Y11" i="2"/>
  <c r="X11" i="2"/>
  <c r="Y14" i="2"/>
  <c r="M14" i="2"/>
  <c r="X14" i="2"/>
  <c r="X13" i="2"/>
  <c r="M13" i="2"/>
  <c r="Y13" i="2"/>
  <c r="V12" i="2"/>
  <c r="S13" i="2"/>
  <c r="U13" i="2"/>
  <c r="T13" i="2"/>
  <c r="S15" i="2"/>
  <c r="U15" i="2"/>
  <c r="T15" i="2"/>
  <c r="S12" i="2"/>
  <c r="U12" i="2"/>
  <c r="T12" i="2"/>
  <c r="S11" i="2"/>
  <c r="U11" i="2"/>
  <c r="T11" i="2"/>
  <c r="S14" i="2"/>
  <c r="U14" i="2"/>
  <c r="T14" i="2"/>
  <c r="V13" i="2"/>
  <c r="V14" i="2"/>
  <c r="P12" i="1" l="1"/>
  <c r="U12" i="1" a="1"/>
  <c r="V12" i="1" a="1"/>
  <c r="R12" i="1" a="1"/>
  <c r="K12" i="1" a="1"/>
  <c r="V12" i="1" l="1"/>
  <c r="U12" i="1"/>
  <c r="R12" i="1"/>
  <c r="K12" i="1"/>
  <c r="Y14" i="1"/>
  <c r="Z14" i="1" s="1"/>
  <c r="P14" i="1"/>
  <c r="J14" i="1"/>
  <c r="F14" i="1"/>
  <c r="Y13" i="1"/>
  <c r="Z13" i="1" s="1"/>
  <c r="P13" i="1"/>
  <c r="J13" i="1"/>
  <c r="Y12" i="1"/>
  <c r="J12" i="1"/>
  <c r="S12" i="1" s="1"/>
  <c r="Y11" i="1"/>
  <c r="Z11" i="1" s="1"/>
  <c r="P11" i="1"/>
  <c r="J11" i="1"/>
  <c r="F11" i="1"/>
  <c r="V13" i="1" a="1"/>
  <c r="U13" i="1" a="1"/>
  <c r="V14" i="1" a="1"/>
  <c r="K11" i="1" a="1"/>
  <c r="U14" i="1" a="1"/>
  <c r="R11" i="1" a="1"/>
  <c r="V11" i="1" a="1"/>
  <c r="R13" i="1" a="1"/>
  <c r="K14" i="1" a="1"/>
  <c r="K13" i="1" a="1"/>
  <c r="R14" i="1" a="1"/>
  <c r="Q12" i="1"/>
  <c r="V14" i="1" l="1"/>
  <c r="U14" i="1"/>
  <c r="V13" i="1"/>
  <c r="U13" i="1"/>
  <c r="R11" i="1"/>
  <c r="K11" i="1"/>
  <c r="K14" i="1"/>
  <c r="K13" i="1"/>
  <c r="V11" i="1"/>
  <c r="R13" i="1"/>
  <c r="R14" i="1"/>
  <c r="S13" i="1"/>
  <c r="S11" i="1"/>
  <c r="S14" i="1"/>
  <c r="Q13" i="1"/>
  <c r="Q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<sst xmlns="http://schemas.openxmlformats.org/spreadsheetml/2006/main" count="207" uniqueCount="89">
  <si>
    <t>Manuel d'utilisation</t>
  </si>
  <si>
    <t>Auteur:</t>
  </si>
  <si>
    <t>Arthur LOYSEL</t>
  </si>
  <si>
    <t>Ce fichier contient des feuilles de calculs qui sont présentées comme suit:</t>
  </si>
  <si>
    <t>Onglet 1</t>
  </si>
  <si>
    <t>Onglet 2</t>
  </si>
  <si>
    <t>Calcul du ferraillage pour une section rectangulaire par limitation des contraintes</t>
  </si>
  <si>
    <t>Onglet 3</t>
  </si>
  <si>
    <t>Calcul du ferraillage pour une section en Té par limitation des contraintes</t>
  </si>
  <si>
    <t>Mode d'utilisation</t>
  </si>
  <si>
    <r>
      <t xml:space="preserve">Les données à rentrées sont dans le tableau en </t>
    </r>
    <r>
      <rPr>
        <sz val="11"/>
        <color rgb="FFFF0000"/>
        <rFont val="Calibri"/>
        <family val="2"/>
        <scheme val="minor"/>
      </rPr>
      <t>rouge</t>
    </r>
    <r>
      <rPr>
        <sz val="11"/>
        <color theme="1"/>
        <rFont val="Calibri"/>
        <family val="2"/>
        <scheme val="minor"/>
      </rPr>
      <t>.</t>
    </r>
  </si>
  <si>
    <t>Une synthèse des résultats est disponible en bas du tableau. Pour afficher les résultats de la ligne qui vous intéresse, rentrez le numéro de la ligne à côté de "Afficher ligne"</t>
  </si>
  <si>
    <t>Limites du fichier</t>
  </si>
  <si>
    <r>
      <t xml:space="preserve">Les contraintes du béton et de l'acier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bc</t>
    </r>
    <r>
      <rPr>
        <sz val="11"/>
        <color theme="1"/>
        <rFont val="Calibri"/>
        <family val="2"/>
        <scheme val="minor"/>
      </rPr>
      <t xml:space="preserve"> et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sont présentes dans le tableau afin de me permettre de vérifier le bon fonctionnement de la feuille de calcul. Elles ont été calculées à partir de la section d'acier théorique et non à partir de la section d'acier réelle (avant-dernière colonne du tableau).</t>
    </r>
  </si>
  <si>
    <t>Pour un calcul à l'ELU, voir la feuille "Flexion Simple JTT1"</t>
  </si>
  <si>
    <t>Bibliographie</t>
  </si>
  <si>
    <t>Pratique de l'Eurocode 2, J. ROUX, Chapitre 7, §4 et §8</t>
  </si>
  <si>
    <t>POUTRES rect
 ELS</t>
  </si>
  <si>
    <t>b</t>
  </si>
  <si>
    <t>h</t>
  </si>
  <si>
    <t>d</t>
  </si>
  <si>
    <t>d'</t>
  </si>
  <si>
    <t>M</t>
  </si>
  <si>
    <r>
      <t>f</t>
    </r>
    <r>
      <rPr>
        <vertAlign val="subscript"/>
        <sz val="9"/>
        <rFont val="Verdana"/>
        <family val="2"/>
      </rPr>
      <t>ck</t>
    </r>
  </si>
  <si>
    <r>
      <t>f</t>
    </r>
    <r>
      <rPr>
        <vertAlign val="subscript"/>
        <sz val="9"/>
        <rFont val="Verdana"/>
        <family val="2"/>
      </rPr>
      <t>ctm</t>
    </r>
  </si>
  <si>
    <r>
      <t>f</t>
    </r>
    <r>
      <rPr>
        <vertAlign val="subscript"/>
        <sz val="9"/>
        <rFont val="Verdana"/>
        <family val="2"/>
      </rPr>
      <t>yk</t>
    </r>
  </si>
  <si>
    <r>
      <rPr>
        <sz val="9"/>
        <rFont val="Symbol"/>
        <family val="1"/>
        <charset val="2"/>
      </rPr>
      <t>s</t>
    </r>
    <r>
      <rPr>
        <vertAlign val="subscript"/>
        <sz val="9"/>
        <rFont val="Verdana"/>
        <family val="2"/>
      </rPr>
      <t>slim</t>
    </r>
  </si>
  <si>
    <r>
      <t>a</t>
    </r>
    <r>
      <rPr>
        <vertAlign val="subscript"/>
        <sz val="9"/>
        <rFont val="Verdana"/>
        <family val="2"/>
      </rPr>
      <t>e</t>
    </r>
  </si>
  <si>
    <t>coef béton</t>
  </si>
  <si>
    <r>
      <rPr>
        <sz val="9"/>
        <rFont val="Symbol"/>
        <family val="1"/>
        <charset val="2"/>
      </rPr>
      <t>s</t>
    </r>
    <r>
      <rPr>
        <vertAlign val="subscript"/>
        <sz val="9"/>
        <rFont val="Verdana"/>
        <family val="2"/>
      </rPr>
      <t>blim</t>
    </r>
  </si>
  <si>
    <t>A</t>
  </si>
  <si>
    <t>A'</t>
  </si>
  <si>
    <r>
      <t>A</t>
    </r>
    <r>
      <rPr>
        <vertAlign val="subscript"/>
        <sz val="9"/>
        <rFont val="Verdana"/>
        <family val="2"/>
      </rPr>
      <t>min</t>
    </r>
  </si>
  <si>
    <r>
      <t>A</t>
    </r>
    <r>
      <rPr>
        <vertAlign val="subscript"/>
        <sz val="9"/>
        <rFont val="Verdana"/>
        <family val="2"/>
      </rPr>
      <t>max</t>
    </r>
  </si>
  <si>
    <r>
      <rPr>
        <sz val="9"/>
        <rFont val="Symbol"/>
        <family val="1"/>
        <charset val="2"/>
      </rPr>
      <t>s</t>
    </r>
    <r>
      <rPr>
        <vertAlign val="subscript"/>
        <sz val="9"/>
        <rFont val="Verdana"/>
        <family val="2"/>
      </rPr>
      <t>bc</t>
    </r>
  </si>
  <si>
    <r>
      <t>s</t>
    </r>
    <r>
      <rPr>
        <vertAlign val="subscript"/>
        <sz val="9"/>
        <rFont val="Verdana"/>
        <family val="2"/>
      </rPr>
      <t>st</t>
    </r>
  </si>
  <si>
    <t>Nb de barres</t>
  </si>
  <si>
    <t>Diamètre HA</t>
  </si>
  <si>
    <r>
      <t>A</t>
    </r>
    <r>
      <rPr>
        <vertAlign val="subscript"/>
        <sz val="9"/>
        <rFont val="Verdana"/>
        <family val="2"/>
      </rPr>
      <t>réel</t>
    </r>
  </si>
  <si>
    <t>Ratio</t>
  </si>
  <si>
    <t>[m]</t>
  </si>
  <si>
    <t>[kN.m]</t>
  </si>
  <si>
    <t>[MPa]</t>
  </si>
  <si>
    <t>[cm²]</t>
  </si>
  <si>
    <t>[mm]</t>
  </si>
  <si>
    <t>[kg/m3]</t>
  </si>
  <si>
    <t>TEST</t>
  </si>
  <si>
    <t>Poutre 1 en travée</t>
  </si>
  <si>
    <t xml:space="preserve">Afficher ligne </t>
  </si>
  <si>
    <t>Résultats flexion simple ELS</t>
  </si>
  <si>
    <t>Géométrie de la section</t>
  </si>
  <si>
    <t>Unité</t>
  </si>
  <si>
    <t>b=</t>
  </si>
  <si>
    <t>m</t>
  </si>
  <si>
    <t>h=</t>
  </si>
  <si>
    <t>d=</t>
  </si>
  <si>
    <t>d'=</t>
  </si>
  <si>
    <t>Sollicitations</t>
  </si>
  <si>
    <t>M=</t>
  </si>
  <si>
    <t>kN.m</t>
  </si>
  <si>
    <t>Matériaux</t>
  </si>
  <si>
    <t>fck=</t>
  </si>
  <si>
    <t>MPa</t>
  </si>
  <si>
    <t>fctm=</t>
  </si>
  <si>
    <t>fyk=</t>
  </si>
  <si>
    <t>Coefficient d'équivalence</t>
  </si>
  <si>
    <r>
      <t>a</t>
    </r>
    <r>
      <rPr>
        <vertAlign val="subscript"/>
        <sz val="9"/>
        <rFont val="Verdana"/>
        <family val="2"/>
      </rPr>
      <t>e</t>
    </r>
    <r>
      <rPr>
        <sz val="9"/>
        <rFont val="Verdana"/>
        <family val="2"/>
      </rPr>
      <t>=</t>
    </r>
  </si>
  <si>
    <t>Limitation des contraintes</t>
  </si>
  <si>
    <r>
      <rPr>
        <sz val="9"/>
        <rFont val="Symbol"/>
        <family val="1"/>
        <charset val="2"/>
      </rPr>
      <t>s</t>
    </r>
    <r>
      <rPr>
        <vertAlign val="subscript"/>
        <sz val="9"/>
        <rFont val="Verdana"/>
        <family val="2"/>
      </rPr>
      <t>slim</t>
    </r>
    <r>
      <rPr>
        <sz val="9"/>
        <rFont val="Verdana"/>
        <family val="1"/>
        <charset val="2"/>
      </rPr>
      <t>=</t>
    </r>
  </si>
  <si>
    <r>
      <rPr>
        <sz val="9"/>
        <rFont val="Symbol"/>
        <family val="1"/>
        <charset val="2"/>
      </rPr>
      <t>s</t>
    </r>
    <r>
      <rPr>
        <vertAlign val="subscript"/>
        <sz val="9"/>
        <rFont val="Verdana"/>
        <family val="2"/>
      </rPr>
      <t>blim</t>
    </r>
    <r>
      <rPr>
        <sz val="9"/>
        <rFont val="Verdana"/>
        <family val="2"/>
      </rPr>
      <t>=</t>
    </r>
  </si>
  <si>
    <t>Section d'acier</t>
  </si>
  <si>
    <t>A=</t>
  </si>
  <si>
    <t>cm²</t>
  </si>
  <si>
    <t>A'=</t>
  </si>
  <si>
    <r>
      <t>A</t>
    </r>
    <r>
      <rPr>
        <vertAlign val="subscript"/>
        <sz val="9"/>
        <rFont val="Verdana"/>
        <family val="2"/>
      </rPr>
      <t>min</t>
    </r>
    <r>
      <rPr>
        <sz val="9"/>
        <rFont val="Verdana"/>
        <family val="2"/>
      </rPr>
      <t>=</t>
    </r>
  </si>
  <si>
    <r>
      <t>A</t>
    </r>
    <r>
      <rPr>
        <vertAlign val="subscript"/>
        <sz val="9"/>
        <rFont val="Verdana"/>
        <family val="2"/>
      </rPr>
      <t>max</t>
    </r>
    <r>
      <rPr>
        <sz val="9"/>
        <rFont val="Verdana"/>
        <family val="2"/>
      </rPr>
      <t>=</t>
    </r>
  </si>
  <si>
    <t>Ratio aciers/béton</t>
  </si>
  <si>
    <t>r=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</si>
  <si>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</si>
  <si>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POUTRES en T
 ELS</t>
  </si>
  <si>
    <t>bw</t>
  </si>
  <si>
    <t>beff</t>
  </si>
  <si>
    <t>hf</t>
  </si>
  <si>
    <t>TEST 1 tendu</t>
  </si>
  <si>
    <t>TEST 2 comprimé</t>
  </si>
  <si>
    <t>Résultats flexion simple ELS en T</t>
  </si>
  <si>
    <t>bw=</t>
  </si>
  <si>
    <t>beff=</t>
  </si>
  <si>
    <t>hf=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</si>
</sst>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\ _€_-;\-* #,##0.0\ _€_-;_-* &quot;-&quot;??\ _€_-;_-@_-"/>
    <numFmt numFmtId="165" formatCode="0.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Verdana"/>
      <family val="2"/>
    </font>
    <font>
      <sz val="9"/>
      <name val="Verdana"/>
      <family val="2"/>
    </font>
    <font>
      <vertAlign val="subscript"/>
      <sz val="9"/>
      <name val="Verdana"/>
      <family val="2"/>
    </font>
    <font>
      <sz val="9"/>
      <name val="Verdana"/>
      <family val="1"/>
      <charset val="2"/>
    </font>
    <font>
      <sz val="9"/>
      <name val="Symbol"/>
      <family val="1"/>
      <charset val="2"/>
    </font>
    <font>
      <sz val="8"/>
      <name val="Verdana"/>
      <family val="2"/>
    </font>
    <font>
      <sz val="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9"/>
      <color theme="1"/>
      <name val="Verdan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1"/>
      <color rgb="FFFF000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C969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4" fillId="0" borderId="1" xfId="2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8" fillId="0" borderId="1" xfId="2" applyFont="1" applyBorder="1" applyAlignment="1">
      <alignment horizontal="center"/>
    </xf>
    <xf numFmtId="0" fontId="4" fillId="0" borderId="1" xfId="2" applyFont="1" applyBorder="1" applyAlignment="1">
      <alignment horizontal="center"/>
    </xf>
    <xf numFmtId="0" fontId="9" fillId="0" borderId="1" xfId="2" applyFont="1" applyBorder="1" applyAlignment="1">
      <alignment horizontal="center"/>
    </xf>
    <xf numFmtId="2" fontId="4" fillId="0" borderId="1" xfId="2" applyNumberFormat="1" applyFont="1" applyBorder="1" applyAlignment="1">
      <alignment horizontal="center"/>
    </xf>
    <xf numFmtId="164" fontId="4" fillId="0" borderId="1" xfId="1" applyNumberFormat="1" applyFont="1" applyFill="1" applyBorder="1" applyAlignment="1">
      <alignment horizontal="center"/>
    </xf>
    <xf numFmtId="165" fontId="4" fillId="0" borderId="1" xfId="2" applyNumberFormat="1" applyFont="1" applyBorder="1" applyAlignment="1">
      <alignment horizontal="center"/>
    </xf>
    <xf numFmtId="1" fontId="4" fillId="0" borderId="1" xfId="2" applyNumberFormat="1" applyFont="1" applyBorder="1" applyAlignment="1">
      <alignment horizontal="center"/>
    </xf>
    <xf numFmtId="1" fontId="9" fillId="0" borderId="1" xfId="2" applyNumberFormat="1" applyFont="1" applyBorder="1" applyAlignment="1">
      <alignment horizontal="center"/>
    </xf>
    <xf numFmtId="165" fontId="1" fillId="0" borderId="1" xfId="3" applyNumberFormat="1" applyFont="1" applyBorder="1" applyAlignment="1">
      <alignment horizontal="center"/>
    </xf>
    <xf numFmtId="0" fontId="4" fillId="0" borderId="1" xfId="2" applyFont="1" applyBorder="1"/>
    <xf numFmtId="164" fontId="4" fillId="2" borderId="1" xfId="1" applyNumberFormat="1" applyFont="1" applyFill="1" applyBorder="1" applyAlignment="1">
      <alignment horizontal="center"/>
    </xf>
    <xf numFmtId="0" fontId="7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/>
    </xf>
    <xf numFmtId="0" fontId="6" fillId="0" borderId="4" xfId="2" applyFont="1" applyBorder="1" applyAlignment="1">
      <alignment horizontal="center" vertical="center"/>
    </xf>
    <xf numFmtId="0" fontId="0" fillId="0" borderId="5" xfId="0" applyBorder="1"/>
    <xf numFmtId="0" fontId="2" fillId="0" borderId="0" xfId="2"/>
    <xf numFmtId="0" fontId="12" fillId="0" borderId="0" xfId="2" applyFont="1"/>
    <xf numFmtId="0" fontId="13" fillId="0" borderId="0" xfId="2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5" fillId="3" borderId="0" xfId="0" applyFont="1" applyFill="1"/>
    <xf numFmtId="0" fontId="0" fillId="3" borderId="0" xfId="0" applyFill="1"/>
    <xf numFmtId="0" fontId="15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/>
    </xf>
    <xf numFmtId="0" fontId="4" fillId="0" borderId="0" xfId="2" applyFont="1" applyAlignment="1">
      <alignment horizontal="right" vertical="center"/>
    </xf>
    <xf numFmtId="0" fontId="6" fillId="0" borderId="0" xfId="2" applyFont="1" applyAlignment="1">
      <alignment horizontal="right" vertical="center"/>
    </xf>
    <xf numFmtId="0" fontId="18" fillId="0" borderId="0" xfId="0" applyFont="1"/>
    <xf numFmtId="0" fontId="0" fillId="3" borderId="0" xfId="0" applyFill="1" applyAlignment="1">
      <alignment horizontal="right"/>
    </xf>
    <xf numFmtId="0" fontId="14" fillId="0" borderId="0" xfId="0" applyFont="1" applyAlignment="1">
      <alignment horizontal="center"/>
    </xf>
    <xf numFmtId="0" fontId="19" fillId="0" borderId="0" xfId="0" applyFont="1"/>
    <xf numFmtId="0" fontId="21" fillId="0" borderId="0" xfId="0" applyFont="1"/>
    <xf numFmtId="0" fontId="24" fillId="0" borderId="0" xfId="0" applyFont="1"/>
    <xf numFmtId="0" fontId="3" fillId="0" borderId="1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/>
    </xf>
    <xf numFmtId="0" fontId="4" fillId="0" borderId="2" xfId="2" applyFont="1" applyBorder="1" applyAlignment="1">
      <alignment horizontal="center" vertical="center" wrapText="1"/>
    </xf>
    <xf numFmtId="0" fontId="4" fillId="0" borderId="3" xfId="2" applyFont="1" applyBorder="1" applyAlignment="1">
      <alignment horizontal="center" vertical="center" wrapText="1"/>
    </xf>
    <xf numFmtId="0" fontId="17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Normal 2" xfId="2" xr:uid="{0C0C3035-EC17-42D7-8D8E-5F6B43FFE430}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70C96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25544-98B2-4DA4-ACF2-79452A8A1B23}">
  <sheetPr codeName="Feuil3"/>
  <dimension ref="A1:B21"/>
  <sheetViews>
    <sheetView tabSelected="1" workbookViewId="0">
      <selection activeCell="F20" sqref="F20"/>
    </sheetView>
  </sheetViews>
  <sheetFormatPr defaultColWidth="11.42578125" defaultRowHeight="14.45"/>
  <sheetData>
    <row r="1" spans="1:2">
      <c r="A1" s="33" t="s">
        <v>0</v>
      </c>
    </row>
    <row r="2" spans="1:2">
      <c r="A2" t="s">
        <v>1</v>
      </c>
      <c r="B2" t="s">
        <v>2</v>
      </c>
    </row>
    <row r="4" spans="1:2">
      <c r="A4" t="s">
        <v>3</v>
      </c>
    </row>
    <row r="5" spans="1:2">
      <c r="A5" s="34" t="s">
        <v>4</v>
      </c>
      <c r="B5" t="s">
        <v>0</v>
      </c>
    </row>
    <row r="6" spans="1:2">
      <c r="A6" s="34" t="s">
        <v>5</v>
      </c>
      <c r="B6" t="s">
        <v>6</v>
      </c>
    </row>
    <row r="7" spans="1:2">
      <c r="A7" s="34" t="s">
        <v>7</v>
      </c>
      <c r="B7" t="s">
        <v>8</v>
      </c>
    </row>
    <row r="8" spans="1:2">
      <c r="A8" s="34"/>
    </row>
    <row r="9" spans="1:2">
      <c r="A9" s="34"/>
    </row>
    <row r="10" spans="1:2">
      <c r="A10" s="33" t="s">
        <v>9</v>
      </c>
    </row>
    <row r="11" spans="1:2">
      <c r="A11" t="s">
        <v>10</v>
      </c>
    </row>
    <row r="12" spans="1:2">
      <c r="A12" t="s">
        <v>11</v>
      </c>
    </row>
    <row r="15" spans="1:2">
      <c r="A15" s="33" t="s">
        <v>12</v>
      </c>
    </row>
    <row r="16" spans="1:2" ht="15.6">
      <c r="A16" t="s">
        <v>13</v>
      </c>
    </row>
    <row r="18" spans="1:1">
      <c r="A18" s="35" t="s">
        <v>14</v>
      </c>
    </row>
    <row r="20" spans="1:1">
      <c r="A20" s="33" t="s">
        <v>15</v>
      </c>
    </row>
    <row r="21" spans="1:1">
      <c r="A21" t="s">
        <v>16</v>
      </c>
    </row>
  </sheetData>
  <phoneticPr fontId="2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C3A9-7263-490D-86D9-8C59C18053E5}">
  <sheetPr codeName="Feuil1">
    <pageSetUpPr fitToPage="1"/>
  </sheetPr>
  <dimension ref="A8:Z60"/>
  <sheetViews>
    <sheetView zoomScale="55" zoomScaleNormal="55" zoomScaleSheetLayoutView="70" zoomScalePageLayoutView="40" workbookViewId="0">
      <selection activeCell="H33" sqref="H33"/>
    </sheetView>
  </sheetViews>
  <sheetFormatPr defaultColWidth="11.42578125" defaultRowHeight="14.45"/>
  <cols>
    <col min="2" max="2" width="13.140625" customWidth="1"/>
    <col min="3" max="3" width="16.7109375" bestFit="1" customWidth="1"/>
    <col min="10" max="11" width="11.5703125" hidden="1" customWidth="1"/>
  </cols>
  <sheetData>
    <row r="8" spans="3:26">
      <c r="U8" s="17"/>
    </row>
    <row r="9" spans="3:26">
      <c r="C9" s="36" t="s">
        <v>17</v>
      </c>
      <c r="D9" s="1" t="s">
        <v>18</v>
      </c>
      <c r="E9" s="1" t="s">
        <v>19</v>
      </c>
      <c r="F9" s="1" t="s">
        <v>20</v>
      </c>
      <c r="G9" s="1" t="s">
        <v>21</v>
      </c>
      <c r="H9" s="1" t="s">
        <v>22</v>
      </c>
      <c r="I9" s="1" t="s">
        <v>23</v>
      </c>
      <c r="J9" s="1" t="s">
        <v>24</v>
      </c>
      <c r="K9" s="1" t="s">
        <v>24</v>
      </c>
      <c r="L9" s="1" t="s">
        <v>25</v>
      </c>
      <c r="M9" s="2" t="s">
        <v>26</v>
      </c>
      <c r="N9" s="1" t="s">
        <v>27</v>
      </c>
      <c r="O9" s="1" t="s">
        <v>28</v>
      </c>
      <c r="P9" s="2" t="s">
        <v>29</v>
      </c>
      <c r="Q9" s="1" t="s">
        <v>30</v>
      </c>
      <c r="R9" s="1" t="s">
        <v>31</v>
      </c>
      <c r="S9" s="1" t="s">
        <v>32</v>
      </c>
      <c r="T9" s="1" t="s">
        <v>33</v>
      </c>
      <c r="U9" s="16" t="s">
        <v>34</v>
      </c>
      <c r="V9" s="14" t="s">
        <v>35</v>
      </c>
      <c r="W9" s="38" t="s">
        <v>36</v>
      </c>
      <c r="X9" s="1" t="s">
        <v>37</v>
      </c>
      <c r="Y9" s="1" t="s">
        <v>38</v>
      </c>
      <c r="Z9" s="1" t="s">
        <v>39</v>
      </c>
    </row>
    <row r="10" spans="3:26">
      <c r="C10" s="37"/>
      <c r="D10" s="3" t="s">
        <v>40</v>
      </c>
      <c r="E10" s="3" t="s">
        <v>40</v>
      </c>
      <c r="F10" s="3" t="s">
        <v>40</v>
      </c>
      <c r="G10" s="3" t="s">
        <v>40</v>
      </c>
      <c r="H10" s="3" t="s">
        <v>41</v>
      </c>
      <c r="I10" s="3" t="s">
        <v>42</v>
      </c>
      <c r="J10" s="3" t="s">
        <v>42</v>
      </c>
      <c r="K10" s="3" t="s">
        <v>42</v>
      </c>
      <c r="L10" s="3" t="s">
        <v>42</v>
      </c>
      <c r="M10" s="3" t="s">
        <v>42</v>
      </c>
      <c r="N10" s="3"/>
      <c r="O10" s="3"/>
      <c r="P10" s="3" t="s">
        <v>42</v>
      </c>
      <c r="Q10" s="3" t="s">
        <v>43</v>
      </c>
      <c r="R10" s="3" t="s">
        <v>43</v>
      </c>
      <c r="S10" s="3" t="s">
        <v>43</v>
      </c>
      <c r="T10" s="3" t="s">
        <v>43</v>
      </c>
      <c r="U10" s="3" t="s">
        <v>42</v>
      </c>
      <c r="V10" s="3" t="s">
        <v>42</v>
      </c>
      <c r="W10" s="39"/>
      <c r="X10" s="3" t="s">
        <v>44</v>
      </c>
      <c r="Y10" s="3" t="s">
        <v>43</v>
      </c>
      <c r="Z10" s="3" t="s">
        <v>45</v>
      </c>
    </row>
    <row r="11" spans="3:26">
      <c r="C11" s="4" t="s">
        <v>46</v>
      </c>
      <c r="D11" s="5">
        <v>0.5</v>
      </c>
      <c r="E11" s="5">
        <v>0.7</v>
      </c>
      <c r="F11" s="5">
        <f>0.9*E11</f>
        <v>0.63</v>
      </c>
      <c r="G11" s="5">
        <v>0.05</v>
      </c>
      <c r="H11" s="5">
        <v>1500</v>
      </c>
      <c r="I11" s="5">
        <v>35</v>
      </c>
      <c r="J11" s="6">
        <f>IF(I11&gt;50,2.12*LN(1+0.1*(I11+8)),0.3*I11^(2/3))</f>
        <v>3.2099624416952368</v>
      </c>
      <c r="K11" s="6" cm="1">
        <f t="array" ref="K11">FLEX_SIMPLE_ELS(D11, E11, F11, G11, P11, H11, I11, M11, N11, 5)</f>
        <v>3.2099624416952381</v>
      </c>
      <c r="L11" s="5">
        <v>500</v>
      </c>
      <c r="M11" s="15">
        <f>0.8*L11</f>
        <v>400</v>
      </c>
      <c r="N11" s="5">
        <v>15</v>
      </c>
      <c r="O11" s="5">
        <v>0.6</v>
      </c>
      <c r="P11" s="4">
        <f>O11*I11</f>
        <v>21</v>
      </c>
      <c r="Q11" s="11">
        <f>MAX(FLEX_SIMPLE_ELS(D11, E11, F11, G11, P11, H11, I11, M11, N11, 1),S11)</f>
        <v>67.325619160198372</v>
      </c>
      <c r="R11" s="8" cm="1">
        <f t="array" ref="R11">FLEX_SIMPLE_ELS(D11, E11, F11, G11, P11, H11, I11, M11, N11, 2)</f>
        <v>47.855002001061997</v>
      </c>
      <c r="S11" s="7">
        <f>MAX(0.26*D11*F11*J11/L11*10000,0.0013*D11*F11*10000)</f>
        <v>5.2579184794967979</v>
      </c>
      <c r="T11" s="9">
        <f>0.04*E11*100*100*D11</f>
        <v>140</v>
      </c>
      <c r="U11" s="13" cm="1">
        <f t="array" ref="U11">FLEX_SIMPLE_ELS(D11, E11, F11, G11, P11, H11, I11, M11, N11, 3)</f>
        <v>21.000000000000007</v>
      </c>
      <c r="V11" s="13" cm="1">
        <f t="array" ref="V11">FLEX_SIMPLE_ELS(D11, E11, F11, G11, P11, H11, I11, M11, N11, 4)</f>
        <v>399.99999999999994</v>
      </c>
      <c r="W11" s="10">
        <v>12</v>
      </c>
      <c r="X11" s="10">
        <v>25</v>
      </c>
      <c r="Y11" s="7">
        <f>(X11/10)^2*PI()/4*W11</f>
        <v>58.90486225480862</v>
      </c>
      <c r="Z11" s="12">
        <f>+Y11*7850/(D11*E11*10000)</f>
        <v>132.11519105721362</v>
      </c>
    </row>
    <row r="12" spans="3:26">
      <c r="C12" s="4" t="s">
        <v>46</v>
      </c>
      <c r="D12" s="5">
        <v>0.25</v>
      </c>
      <c r="E12" s="5">
        <v>0.55000000000000004</v>
      </c>
      <c r="F12" s="5">
        <v>0.48699999999999999</v>
      </c>
      <c r="G12" s="5">
        <v>0.06</v>
      </c>
      <c r="H12" s="5">
        <v>264.79000000000002</v>
      </c>
      <c r="I12" s="5">
        <v>20</v>
      </c>
      <c r="J12" s="6">
        <f>IF(I12&gt;50,2.12*LN(1+0.1*(I12+8)),0.3*I12^(2/3))</f>
        <v>2.2104188991842313</v>
      </c>
      <c r="K12" s="6" cm="1">
        <f t="array" ref="K12">FLEX_SIMPLE_ELS(D12, E12, F12, G12, P12, H12, I12, M12, N12, 5)</f>
        <v>2.2104188991842317</v>
      </c>
      <c r="L12" s="5">
        <v>500</v>
      </c>
      <c r="M12" s="15">
        <f>0.8*L12</f>
        <v>400</v>
      </c>
      <c r="N12" s="5">
        <v>15</v>
      </c>
      <c r="O12" s="5">
        <v>0.6</v>
      </c>
      <c r="P12" s="4">
        <f>O12*I12</f>
        <v>12</v>
      </c>
      <c r="Q12" s="11">
        <f>MAX(FLEX_SIMPLE_ELS(D12, E12, F12, G12, P12, H12, I12, M12, N12, 1),S12)</f>
        <v>15.375229701732355</v>
      </c>
      <c r="R12" s="8" cm="1">
        <f t="array" ref="R12">FLEX_SIMPLE_ELS(D12, E12, F12, G12, P12, H12, I12, M12, N12, 2)</f>
        <v>35.774350353586193</v>
      </c>
      <c r="S12" s="7">
        <f>MAX(0.26*D12*F12*J12/L12*10000,0.0013*D12*F12*10000)</f>
        <v>1.5827499999999999</v>
      </c>
      <c r="T12" s="9">
        <f t="shared" ref="T12:T14" si="0">0.04*E12*100*100*D12</f>
        <v>55.000000000000007</v>
      </c>
      <c r="U12" s="13" cm="1">
        <f t="array" ref="U12">FLEX_SIMPLE_ELS(D12, E12, F12, G12, P12, H12, I12, M12, N12, 3)</f>
        <v>12</v>
      </c>
      <c r="V12" s="13" cm="1">
        <f t="array" ref="V12">FLEX_SIMPLE_ELS(D12, E12, F12, G12, P12, H12, I12, M12, N12, 4)</f>
        <v>400</v>
      </c>
      <c r="W12" s="10">
        <v>5</v>
      </c>
      <c r="X12" s="10">
        <v>32</v>
      </c>
      <c r="Y12" s="7">
        <f>(X12/10)^2*PI()/4*W12</f>
        <v>40.212385965949352</v>
      </c>
      <c r="Z12" s="12">
        <f>+Y12*7850/(D12*E12*10000)</f>
        <v>229.57616715105632</v>
      </c>
    </row>
    <row r="13" spans="3:26">
      <c r="C13" s="4" t="s">
        <v>46</v>
      </c>
      <c r="D13" s="5">
        <v>0.25</v>
      </c>
      <c r="E13" s="5">
        <v>0.55000000000000004</v>
      </c>
      <c r="F13" s="5">
        <f>0.9*E13</f>
        <v>0.49500000000000005</v>
      </c>
      <c r="G13" s="5">
        <v>0.03</v>
      </c>
      <c r="H13" s="5">
        <v>3000</v>
      </c>
      <c r="I13" s="5">
        <v>25</v>
      </c>
      <c r="J13" s="6">
        <f>IF(I13&gt;50,2.12*LN(1+0.1*(I13+8)),0.3*I13^(2/3))</f>
        <v>2.5649639200150443</v>
      </c>
      <c r="K13" s="6" cm="1">
        <f t="array" ref="K13">FLEX_SIMPLE_ELS(D13, E13, F13, G13, P13, H13, I13, M13, N13, 5)</f>
        <v>2.5649639200150451</v>
      </c>
      <c r="L13" s="5">
        <v>500</v>
      </c>
      <c r="M13" s="15">
        <f t="shared" ref="M13:M14" si="1">0.8*L13</f>
        <v>400</v>
      </c>
      <c r="N13" s="5">
        <v>15</v>
      </c>
      <c r="O13" s="5">
        <v>0.6</v>
      </c>
      <c r="P13" s="4">
        <f>O13*I13</f>
        <v>15</v>
      </c>
      <c r="Q13" s="11">
        <f t="shared" ref="Q13:Q14" si="2">MAX(FLEX_SIMPLE_ELS(D13, E13, F13, G13, P13, H13, I13, M13, N13, 1),S13)</f>
        <v>161.81845564516129</v>
      </c>
      <c r="R13" s="8" cm="1">
        <f t="array" ref="R13">FLEX_SIMPLE_ELS(D13, E13, F13, G13, P13, H13, I13, M13, N13, 2)</f>
        <v>328.05544364633664</v>
      </c>
      <c r="S13" s="7">
        <f>MAX(0.26*D13*F13*J13/L13*10000,0.0013*D13*F13*10000)</f>
        <v>1.6505542825296813</v>
      </c>
      <c r="T13" s="9">
        <f t="shared" si="0"/>
        <v>55.000000000000007</v>
      </c>
      <c r="U13" s="13" cm="1">
        <f t="array" ref="U13">FLEX_SIMPLE_ELS(D13, E13, F13, G13, P13, H13, I13, M13, N13, 3)</f>
        <v>15.000000000000005</v>
      </c>
      <c r="V13" s="13" cm="1">
        <f t="array" ref="V13">FLEX_SIMPLE_ELS(D13, E13, F13, G13, P13, H13, I13, M13, N13, 4)</f>
        <v>399.99999999999989</v>
      </c>
      <c r="W13" s="10">
        <v>12</v>
      </c>
      <c r="X13" s="10">
        <v>20</v>
      </c>
      <c r="Y13" s="7">
        <f>(X13/10)^2*PI()/4*W13</f>
        <v>37.699111843077517</v>
      </c>
      <c r="Z13" s="12">
        <f>+Y13*7850/(D13*E13*10000)</f>
        <v>215.2276567041153</v>
      </c>
    </row>
    <row r="14" spans="3:26">
      <c r="C14" s="4" t="s">
        <v>47</v>
      </c>
      <c r="D14" s="5">
        <v>2</v>
      </c>
      <c r="E14" s="5">
        <v>2.75</v>
      </c>
      <c r="F14" s="5">
        <f>0.9*E14</f>
        <v>2.4750000000000001</v>
      </c>
      <c r="G14" s="5">
        <v>0.1</v>
      </c>
      <c r="H14" s="5">
        <v>20000</v>
      </c>
      <c r="I14" s="5">
        <v>20</v>
      </c>
      <c r="J14" s="6">
        <f>IF(I14&gt;50,2.12*LN(1+0.1*(I14+8)),0.3*I14^(2/3))</f>
        <v>2.2104188991842313</v>
      </c>
      <c r="K14" s="6" cm="1">
        <f t="array" ref="K14">FLEX_SIMPLE_ELS(D14, E14, F14, G14, P14, H14, I14, M14, N14, 5)</f>
        <v>2.2104188991842317</v>
      </c>
      <c r="L14" s="5">
        <v>500</v>
      </c>
      <c r="M14" s="15">
        <f t="shared" si="1"/>
        <v>400</v>
      </c>
      <c r="N14" s="5">
        <v>15</v>
      </c>
      <c r="O14" s="5">
        <v>0.6</v>
      </c>
      <c r="P14" s="4">
        <f>O14*I14</f>
        <v>12</v>
      </c>
      <c r="Q14" s="11">
        <f t="shared" si="2"/>
        <v>225.33022533022532</v>
      </c>
      <c r="R14" s="8" cm="1">
        <f t="array" ref="R14">FLEX_SIMPLE_ELS(D14, E14, F14, G14, P14, H14, I14, M14, N14, 2)</f>
        <v>0</v>
      </c>
      <c r="S14" s="7">
        <f>MAX(0.26*D14*F14*J14/L14*10000,0.0013*D14*F14*10000)</f>
        <v>64.349999999999994</v>
      </c>
      <c r="T14" s="9">
        <f t="shared" si="0"/>
        <v>2200</v>
      </c>
      <c r="U14" s="13" cm="1">
        <f t="array" ref="U14">FLEX_SIMPLE_ELS(D14, E14, F14, G14, P14, H14, I14, M14, N14, 3)</f>
        <v>11.829773735072902</v>
      </c>
      <c r="V14" s="13" cm="1">
        <f t="array" ref="V14">FLEX_SIMPLE_ELS(D14, E14, F14, G14, P14, H14, I14, M14, N14, 4)</f>
        <v>399.58016661713719</v>
      </c>
      <c r="W14" s="10">
        <v>5</v>
      </c>
      <c r="X14" s="10">
        <v>16</v>
      </c>
      <c r="Y14" s="7">
        <f>(X14/10)^2*PI()/4*W14</f>
        <v>10.053096491487338</v>
      </c>
      <c r="Z14" s="12">
        <f>+Y14*7850/(D14*E14*10000)</f>
        <v>1.4348510446941021</v>
      </c>
    </row>
    <row r="24" spans="1:9">
      <c r="B24" t="s">
        <v>48</v>
      </c>
      <c r="C24" s="32">
        <v>12</v>
      </c>
      <c r="H24" s="18"/>
      <c r="I24" s="18"/>
    </row>
    <row r="25" spans="1:9">
      <c r="H25" s="18"/>
      <c r="I25" s="18"/>
    </row>
    <row r="26" spans="1:9" ht="23.45">
      <c r="B26" s="40" t="s">
        <v>49</v>
      </c>
      <c r="C26" s="40"/>
      <c r="D26" s="40"/>
      <c r="H26" s="18"/>
      <c r="I26" s="18"/>
    </row>
    <row r="27" spans="1:9">
      <c r="H27" s="18"/>
      <c r="I27" s="18"/>
    </row>
    <row r="28" spans="1:9">
      <c r="H28" s="18"/>
      <c r="I28" s="19"/>
    </row>
    <row r="29" spans="1:9">
      <c r="H29" s="18"/>
      <c r="I29" s="19"/>
    </row>
    <row r="30" spans="1:9" ht="15.6">
      <c r="A30" s="23" t="s">
        <v>50</v>
      </c>
      <c r="B30" s="24"/>
      <c r="C30" s="24"/>
      <c r="D30" s="25" t="s">
        <v>51</v>
      </c>
      <c r="E30" s="24"/>
      <c r="F30" s="24"/>
      <c r="G30" s="24"/>
      <c r="H30" s="18"/>
      <c r="I30" s="19"/>
    </row>
    <row r="31" spans="1:9">
      <c r="B31" s="21" t="s">
        <v>52</v>
      </c>
      <c r="C31" s="30" cm="1">
        <f t="array" aca="1" ref="C31" ca="1">INDIRECT("D" &amp; C24)</f>
        <v>0.25</v>
      </c>
      <c r="D31" s="22" t="s">
        <v>53</v>
      </c>
      <c r="H31" s="18"/>
      <c r="I31" s="19"/>
    </row>
    <row r="32" spans="1:9">
      <c r="B32" s="21" t="s">
        <v>54</v>
      </c>
      <c r="C32" s="30" cm="1">
        <f t="array" aca="1" ref="C32" ca="1">INDIRECT("E" &amp; C24)</f>
        <v>0.55000000000000004</v>
      </c>
      <c r="D32" s="26" t="s">
        <v>53</v>
      </c>
      <c r="H32" s="18"/>
      <c r="I32" s="20"/>
    </row>
    <row r="33" spans="1:7">
      <c r="B33" s="21" t="s">
        <v>55</v>
      </c>
      <c r="C33" s="30" cm="1">
        <f t="array" aca="1" ref="C33" ca="1">INDIRECT("F" &amp; C24)</f>
        <v>0.48699999999999999</v>
      </c>
      <c r="D33" s="22" t="s">
        <v>53</v>
      </c>
    </row>
    <row r="34" spans="1:7">
      <c r="B34" s="21" t="s">
        <v>56</v>
      </c>
      <c r="C34" s="30" cm="1">
        <f t="array" aca="1" ref="C34" ca="1">INDIRECT("G" &amp; C24)</f>
        <v>0.06</v>
      </c>
      <c r="D34" s="22" t="s">
        <v>53</v>
      </c>
    </row>
    <row r="35" spans="1:7">
      <c r="B35" s="21"/>
      <c r="D35" s="22"/>
    </row>
    <row r="36" spans="1:7" ht="15.6">
      <c r="A36" s="23" t="s">
        <v>57</v>
      </c>
      <c r="B36" s="31"/>
      <c r="C36" s="24"/>
      <c r="D36" s="27"/>
      <c r="E36" s="24"/>
      <c r="F36" s="24"/>
      <c r="G36" s="24"/>
    </row>
    <row r="37" spans="1:7">
      <c r="B37" s="21" t="s">
        <v>58</v>
      </c>
      <c r="C37" s="30" cm="1">
        <f t="array" aca="1" ref="C37" ca="1">INDIRECT("H" &amp; C24)</f>
        <v>264.79000000000002</v>
      </c>
      <c r="D37" s="22" t="s">
        <v>59</v>
      </c>
    </row>
    <row r="38" spans="1:7">
      <c r="B38" s="21"/>
      <c r="D38" s="22"/>
    </row>
    <row r="39" spans="1:7" ht="15.6">
      <c r="A39" s="23" t="s">
        <v>60</v>
      </c>
      <c r="B39" s="31"/>
      <c r="C39" s="24"/>
      <c r="D39" s="27"/>
      <c r="E39" s="24"/>
      <c r="F39" s="24"/>
      <c r="G39" s="24"/>
    </row>
    <row r="40" spans="1:7">
      <c r="B40" s="21" t="s">
        <v>61</v>
      </c>
      <c r="C40" s="30" cm="1">
        <f t="array" aca="1" ref="C40" ca="1">INDIRECT("I" &amp; C24)</f>
        <v>20</v>
      </c>
      <c r="D40" s="22" t="s">
        <v>62</v>
      </c>
    </row>
    <row r="41" spans="1:7">
      <c r="B41" s="21" t="s">
        <v>63</v>
      </c>
      <c r="C41" s="30" cm="1">
        <f t="array" aca="1" ref="C41" ca="1">INDIRECT("J" &amp; C24)</f>
        <v>2.2104188991842313</v>
      </c>
      <c r="D41" s="22" t="s">
        <v>62</v>
      </c>
    </row>
    <row r="42" spans="1:7">
      <c r="B42" s="21" t="s">
        <v>64</v>
      </c>
      <c r="C42" s="30" cm="1">
        <f t="array" aca="1" ref="C42" ca="1">INDIRECT("L" &amp; C24)</f>
        <v>500</v>
      </c>
      <c r="D42" s="22" t="s">
        <v>62</v>
      </c>
    </row>
    <row r="43" spans="1:7">
      <c r="B43" s="21"/>
      <c r="D43" s="22"/>
    </row>
    <row r="44" spans="1:7" ht="15.6">
      <c r="A44" s="23" t="s">
        <v>65</v>
      </c>
      <c r="B44" s="31"/>
      <c r="C44" s="24"/>
      <c r="D44" s="27"/>
      <c r="E44" s="24"/>
      <c r="F44" s="24"/>
      <c r="G44" s="24"/>
    </row>
    <row r="45" spans="1:7">
      <c r="B45" s="28" t="s">
        <v>66</v>
      </c>
      <c r="C45" s="30" cm="1">
        <f t="array" aca="1" ref="C45" ca="1">INDIRECT("N" &amp; C24)</f>
        <v>15</v>
      </c>
      <c r="D45" s="22"/>
    </row>
    <row r="46" spans="1:7">
      <c r="B46" s="21"/>
      <c r="D46" s="22"/>
    </row>
    <row r="47" spans="1:7" ht="15.6">
      <c r="A47" s="23" t="s">
        <v>67</v>
      </c>
      <c r="B47" s="31"/>
      <c r="C47" s="24"/>
      <c r="D47" s="27"/>
      <c r="E47" s="24"/>
      <c r="F47" s="24"/>
      <c r="G47" s="24"/>
    </row>
    <row r="48" spans="1:7">
      <c r="B48" s="29" t="s">
        <v>68</v>
      </c>
      <c r="C48" s="30" cm="1">
        <f t="array" aca="1" ref="C48" ca="1">INDIRECT("M" &amp; C24)</f>
        <v>400</v>
      </c>
      <c r="D48" s="22" t="s">
        <v>62</v>
      </c>
    </row>
    <row r="49" spans="1:7">
      <c r="B49" s="29" t="s">
        <v>69</v>
      </c>
      <c r="C49" s="30" cm="1">
        <f t="array" aca="1" ref="C49" ca="1">INDIRECT("P" &amp; C24)</f>
        <v>12</v>
      </c>
      <c r="D49" s="22" t="s">
        <v>62</v>
      </c>
    </row>
    <row r="50" spans="1:7">
      <c r="B50" s="21"/>
      <c r="D50" s="22"/>
    </row>
    <row r="51" spans="1:7" ht="15.6">
      <c r="A51" s="23" t="s">
        <v>70</v>
      </c>
      <c r="B51" s="31"/>
      <c r="C51" s="24"/>
      <c r="D51" s="27"/>
      <c r="E51" s="24"/>
      <c r="F51" s="24"/>
      <c r="G51" s="24"/>
    </row>
    <row r="52" spans="1:7">
      <c r="B52" s="21" t="s">
        <v>71</v>
      </c>
      <c r="C52" s="30" cm="1">
        <f t="array" aca="1" ref="C52" ca="1">INDIRECT("Q" &amp; C24)</f>
        <v>15.375229701732355</v>
      </c>
      <c r="D52" s="22" t="s">
        <v>72</v>
      </c>
    </row>
    <row r="53" spans="1:7">
      <c r="B53" s="21" t="s">
        <v>73</v>
      </c>
      <c r="C53" s="30" cm="1">
        <f t="array" aca="1" ref="C53" ca="1">INDIRECT("R" &amp; C24)</f>
        <v>35.774350353586193</v>
      </c>
      <c r="D53" s="22" t="s">
        <v>72</v>
      </c>
    </row>
    <row r="54" spans="1:7">
      <c r="B54" s="28" t="s">
        <v>74</v>
      </c>
      <c r="C54" s="30" cm="1">
        <f t="array" aca="1" ref="C54" ca="1">INDIRECT("S" &amp; C24)</f>
        <v>1.5827499999999999</v>
      </c>
      <c r="D54" s="22" t="s">
        <v>72</v>
      </c>
    </row>
    <row r="55" spans="1:7">
      <c r="B55" s="28" t="s">
        <v>75</v>
      </c>
      <c r="C55" s="30" cm="1">
        <f t="array" aca="1" ref="C55" ca="1">INDIRECT("T" &amp; C24)</f>
        <v>55.000000000000007</v>
      </c>
      <c r="D55" s="22" t="s">
        <v>72</v>
      </c>
    </row>
    <row r="56" spans="1:7">
      <c r="B56" s="21"/>
      <c r="D56" s="22"/>
    </row>
    <row r="57" spans="1:7" ht="15.6">
      <c r="A57" s="23" t="s">
        <v>76</v>
      </c>
      <c r="B57" s="31"/>
      <c r="C57" s="24"/>
      <c r="D57" s="27"/>
      <c r="E57" s="24"/>
      <c r="F57" s="24"/>
      <c r="G57" s="24"/>
    </row>
    <row r="58" spans="1:7" ht="16.149999999999999">
      <c r="B58" s="29" t="s">
        <v>77</v>
      </c>
      <c r="C58" s="30" cm="1">
        <f t="array" aca="1" ref="C58" ca="1">INDIRECT("Z" &amp; C24)</f>
        <v>229.57616715105632</v>
      </c>
      <c r="D58" s="22" t="s">
        <v>78</v>
      </c>
    </row>
    <row r="60" spans="1:7">
      <c r="D60" s="22"/>
    </row>
  </sheetData>
  <mergeCells count="3">
    <mergeCell ref="C9:C10"/>
    <mergeCell ref="W9:W10"/>
    <mergeCell ref="B26:D26"/>
  </mergeCells>
  <printOptions horizontalCentered="1"/>
  <pageMargins left="0.70866141732283472" right="0.70866141732283472" top="0.74803149606299213" bottom="0.74803149606299213" header="0.31496062992125984" footer="0.31496062992125984"/>
  <pageSetup paperSize="9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B647-84E1-4FA1-8C41-6C73A896324F}">
  <sheetPr codeName="Feuil2"/>
  <dimension ref="A9:AC60"/>
  <sheetViews>
    <sheetView zoomScale="70" zoomScaleNormal="70" zoomScaleSheetLayoutView="70" workbookViewId="0">
      <selection activeCell="I37" sqref="I37"/>
    </sheetView>
  </sheetViews>
  <sheetFormatPr defaultColWidth="11.42578125" defaultRowHeight="14.45"/>
  <cols>
    <col min="2" max="2" width="14.7109375" customWidth="1"/>
    <col min="3" max="3" width="16.7109375" bestFit="1" customWidth="1"/>
    <col min="4" max="4" width="10.28515625" customWidth="1"/>
    <col min="5" max="5" width="10" customWidth="1"/>
    <col min="12" max="13" width="11.5703125" hidden="1" customWidth="1"/>
    <col min="19" max="19" width="15.85546875" hidden="1" customWidth="1"/>
    <col min="24" max="24" width="12" bestFit="1" customWidth="1"/>
    <col min="25" max="25" width="9.28515625" bestFit="1" customWidth="1"/>
  </cols>
  <sheetData>
    <row r="9" spans="3:29">
      <c r="C9" s="36" t="s">
        <v>79</v>
      </c>
      <c r="D9" s="1" t="s">
        <v>80</v>
      </c>
      <c r="E9" s="1" t="s">
        <v>81</v>
      </c>
      <c r="F9" s="1" t="s">
        <v>82</v>
      </c>
      <c r="G9" s="1" t="s">
        <v>19</v>
      </c>
      <c r="H9" s="1" t="s">
        <v>20</v>
      </c>
      <c r="I9" s="1" t="s">
        <v>21</v>
      </c>
      <c r="J9" s="1" t="s">
        <v>22</v>
      </c>
      <c r="K9" s="1" t="s">
        <v>23</v>
      </c>
      <c r="L9" s="1" t="s">
        <v>24</v>
      </c>
      <c r="M9" s="1" t="s">
        <v>24</v>
      </c>
      <c r="N9" s="1" t="s">
        <v>25</v>
      </c>
      <c r="O9" s="2" t="s">
        <v>26</v>
      </c>
      <c r="P9" s="1" t="s">
        <v>27</v>
      </c>
      <c r="Q9" s="1" t="s">
        <v>28</v>
      </c>
      <c r="R9" s="2" t="s">
        <v>29</v>
      </c>
      <c r="S9" s="1" t="s">
        <v>34</v>
      </c>
      <c r="T9" s="1" t="s">
        <v>30</v>
      </c>
      <c r="U9" s="1" t="s">
        <v>31</v>
      </c>
      <c r="V9" s="1" t="s">
        <v>32</v>
      </c>
      <c r="W9" s="1" t="s">
        <v>33</v>
      </c>
      <c r="X9" s="1" t="s">
        <v>34</v>
      </c>
      <c r="Y9" s="14" t="s">
        <v>35</v>
      </c>
      <c r="Z9" s="38" t="s">
        <v>36</v>
      </c>
      <c r="AA9" s="1" t="s">
        <v>37</v>
      </c>
      <c r="AB9" s="1" t="s">
        <v>38</v>
      </c>
      <c r="AC9" s="1" t="s">
        <v>39</v>
      </c>
    </row>
    <row r="10" spans="3:29">
      <c r="C10" s="37"/>
      <c r="D10" s="3" t="s">
        <v>40</v>
      </c>
      <c r="E10" s="3" t="s">
        <v>40</v>
      </c>
      <c r="F10" s="3" t="s">
        <v>40</v>
      </c>
      <c r="G10" s="3" t="s">
        <v>40</v>
      </c>
      <c r="H10" s="3" t="s">
        <v>40</v>
      </c>
      <c r="I10" s="3" t="s">
        <v>40</v>
      </c>
      <c r="J10" s="3" t="s">
        <v>41</v>
      </c>
      <c r="K10" s="3" t="s">
        <v>42</v>
      </c>
      <c r="L10" s="3" t="s">
        <v>42</v>
      </c>
      <c r="M10" s="3" t="s">
        <v>42</v>
      </c>
      <c r="N10" s="3" t="s">
        <v>42</v>
      </c>
      <c r="O10" s="3" t="s">
        <v>42</v>
      </c>
      <c r="P10" s="3"/>
      <c r="Q10" s="3"/>
      <c r="R10" s="3" t="s">
        <v>42</v>
      </c>
      <c r="S10" s="3" t="s">
        <v>42</v>
      </c>
      <c r="T10" s="3" t="s">
        <v>43</v>
      </c>
      <c r="U10" s="3" t="s">
        <v>43</v>
      </c>
      <c r="V10" s="3" t="s">
        <v>43</v>
      </c>
      <c r="W10" s="3" t="s">
        <v>43</v>
      </c>
      <c r="X10" s="3" t="s">
        <v>42</v>
      </c>
      <c r="Y10" s="3" t="s">
        <v>42</v>
      </c>
      <c r="Z10" s="39"/>
      <c r="AA10" s="3" t="s">
        <v>44</v>
      </c>
      <c r="AB10" s="3" t="s">
        <v>43</v>
      </c>
      <c r="AC10" s="3" t="s">
        <v>45</v>
      </c>
    </row>
    <row r="11" spans="3:29">
      <c r="C11" s="4" t="s">
        <v>83</v>
      </c>
      <c r="D11" s="5">
        <v>0.18</v>
      </c>
      <c r="E11" s="5">
        <v>0.9</v>
      </c>
      <c r="F11" s="5">
        <v>0.1</v>
      </c>
      <c r="G11" s="5">
        <v>0.9</v>
      </c>
      <c r="H11" s="5">
        <v>0.6</v>
      </c>
      <c r="I11" s="5">
        <v>0.3</v>
      </c>
      <c r="J11" s="5">
        <v>400</v>
      </c>
      <c r="K11" s="5">
        <v>20</v>
      </c>
      <c r="L11" s="6">
        <f>IF(K11&gt;50,2.12*LN(1+0.1*(K11+8)),0.3*K11^(2/3))</f>
        <v>2.2104188991842313</v>
      </c>
      <c r="M11" s="6" cm="1">
        <f t="array" ref="M11">FLEX_SIMPLE_ELS_T(D11,E11,F11,G11,H11,I11,R11,J11,K11,O11,P11,6)</f>
        <v>2.2104188991842317</v>
      </c>
      <c r="N11" s="5">
        <v>500</v>
      </c>
      <c r="O11" s="15">
        <f>0.8*N11</f>
        <v>400</v>
      </c>
      <c r="P11" s="5">
        <v>15</v>
      </c>
      <c r="Q11" s="5">
        <v>0.6</v>
      </c>
      <c r="R11" s="4">
        <f>Q11*K11</f>
        <v>12</v>
      </c>
      <c r="S11" s="7" cm="1">
        <f t="array" ref="S11">FLEX_SIMPLE_ELS_T(D11,E11,F11,G11,H11,I11,R11,J11,K11,O11,P11,3)</f>
        <v>11.239669421487609</v>
      </c>
      <c r="T11" s="11" cm="1">
        <f t="array" ref="T11">FLEX_SIMPLE_ELS_T(D11,E11,F11,G11,H11,I11,R11,J11,K11,O11,P11,1)</f>
        <v>18.090432013957326</v>
      </c>
      <c r="U11" s="11" cm="1">
        <f t="array" ref="U11">FLEX_SIMPLE_ELS_T(D11,E11,F11,G11,H11,I11,R11,J11,K11,O11,P11,2)</f>
        <v>0</v>
      </c>
      <c r="V11" s="7">
        <f>MAX(0.26*D11*H11*L11/N11*10000,0.0013*D11*H11*10000)</f>
        <v>1.4039999999999997</v>
      </c>
      <c r="W11" s="9">
        <f>0.04*(D11*(G11-F11)+E11*F11)*10000</f>
        <v>93.600000000000009</v>
      </c>
      <c r="X11" s="13" cm="1">
        <f t="array" ref="X11">FLEX_SIMPLE_ELS_T(D11,E11,F11,G11,H11,I11,R11,J11,K11,O11,P11,4)</f>
        <v>10.817625428622881</v>
      </c>
      <c r="Y11" s="13" cm="1">
        <f t="array" ref="Y11">FLEX_SIMPLE_ELS_T(D11,E11,F11,G11,H11,I11,R11,J11,K11,O11,P11,5)</f>
        <v>399.57230863249634</v>
      </c>
      <c r="Z11" s="10">
        <v>12</v>
      </c>
      <c r="AA11" s="10">
        <v>25</v>
      </c>
      <c r="AB11" s="7">
        <f>(AA11/10)^2*PI()/4*Z11</f>
        <v>58.90486225480862</v>
      </c>
      <c r="AC11" s="12">
        <f>+AB11*7850/(D11*F11*10000)</f>
        <v>2568.9064927791537</v>
      </c>
    </row>
    <row r="12" spans="3:29">
      <c r="C12" s="4" t="s">
        <v>84</v>
      </c>
      <c r="D12" s="5">
        <v>0.3</v>
      </c>
      <c r="E12" s="5">
        <v>1.2</v>
      </c>
      <c r="F12" s="5">
        <v>0.1</v>
      </c>
      <c r="G12" s="5">
        <v>0.73</v>
      </c>
      <c r="H12" s="5">
        <v>0.68</v>
      </c>
      <c r="I12" s="5">
        <v>0.04</v>
      </c>
      <c r="J12" s="5">
        <v>690</v>
      </c>
      <c r="K12" s="5">
        <v>20</v>
      </c>
      <c r="L12" s="6">
        <f>IF(K12&gt;50,2.12*LN(1+0.1*(K12+8)),0.3*K12^(2/3))</f>
        <v>2.2104188991842313</v>
      </c>
      <c r="M12" s="6" cm="1">
        <f t="array" ref="M12">FLEX_SIMPLE_ELS_T(D12,E12,F12,G12,H12,I12,R12,J12,K12,O12,P12,6)</f>
        <v>2.2104188991842317</v>
      </c>
      <c r="N12" s="5">
        <v>500</v>
      </c>
      <c r="O12" s="15">
        <f>0.8*N12</f>
        <v>400</v>
      </c>
      <c r="P12" s="5">
        <v>15</v>
      </c>
      <c r="Q12" s="5">
        <v>0.6</v>
      </c>
      <c r="R12" s="4">
        <f>Q12*K12</f>
        <v>12</v>
      </c>
      <c r="S12" s="7" cm="1">
        <f t="array" ref="S12">FLEX_SIMPLE_ELS_T(D12,E12,F12,G12,H12,I12,R12,J12,K12,O12,P12,3)</f>
        <v>11.967750062988157</v>
      </c>
      <c r="T12" s="11" cm="1">
        <f t="array" ref="T12">FLEX_SIMPLE_ELS_T(D12,E12,F12,G12,H12,I12,R12,J12,K12,O12,P12,1)</f>
        <v>27.50406182002293</v>
      </c>
      <c r="U12" s="11" cm="1">
        <f t="array" ref="U12">FLEX_SIMPLE_ELS_T(D12,E12,F12,G12,H12,I12,R12,J12,K12,O12,P12,2)</f>
        <v>0</v>
      </c>
      <c r="V12" s="7">
        <f>MAX(0.26*D12*H12*L12/N12*10000,0.0013*D12*H12*10000)</f>
        <v>2.6520000000000001</v>
      </c>
      <c r="W12" s="9">
        <f>0.04*(D12*(G12-F12)+E12*F12)*10000</f>
        <v>123.6</v>
      </c>
      <c r="X12" s="13" cm="1">
        <f t="array" ref="X12">FLEX_SIMPLE_ELS_T(D12,E12,F12,G12,H12,I12,R12,J12,K12,O12,P12,4)</f>
        <v>11.212604845587505</v>
      </c>
      <c r="Y12" s="13" cm="1">
        <f t="array" ref="Y12">FLEX_SIMPLE_ELS_T(D12,E12,F12,G12,H12,I12,R12,J12,K12,O12,P12,5)</f>
        <v>399.16626062178699</v>
      </c>
      <c r="Z12" s="10">
        <v>5</v>
      </c>
      <c r="AA12" s="10">
        <v>32</v>
      </c>
      <c r="AB12" s="7">
        <f>(AA12/10)^2*PI()/4*Z12</f>
        <v>40.212385965949352</v>
      </c>
      <c r="AC12" s="12">
        <f>+AB12*7850/(D12*F12*10000)</f>
        <v>1052.2240994423414</v>
      </c>
    </row>
    <row r="13" spans="3:29">
      <c r="C13" s="4" t="s">
        <v>47</v>
      </c>
      <c r="D13" s="5">
        <v>0.5</v>
      </c>
      <c r="E13" s="5">
        <v>1.2</v>
      </c>
      <c r="F13" s="5">
        <v>0.1</v>
      </c>
      <c r="G13" s="5">
        <v>0.73</v>
      </c>
      <c r="H13" s="5">
        <v>0.68</v>
      </c>
      <c r="I13" s="5">
        <v>0.03</v>
      </c>
      <c r="J13" s="5">
        <v>1200</v>
      </c>
      <c r="K13" s="5">
        <v>35</v>
      </c>
      <c r="L13" s="6">
        <f>IF(K13&gt;50,2.12*LN(1+0.1*(K13+8)),0.3*K13^(2/3))</f>
        <v>3.2099624416952368</v>
      </c>
      <c r="M13" s="6" cm="1">
        <f t="array" ref="M13">FLEX_SIMPLE_ELS_T(D13,E13,F13,G13,H13,I13,R13,J13,K13,O13,P13,6)</f>
        <v>3.2099624416952381</v>
      </c>
      <c r="N13" s="5">
        <v>500</v>
      </c>
      <c r="O13" s="15">
        <f t="shared" ref="O13:O15" si="0">0.8*N13</f>
        <v>400</v>
      </c>
      <c r="P13" s="5">
        <v>15</v>
      </c>
      <c r="Q13" s="5">
        <v>0.6</v>
      </c>
      <c r="R13" s="4">
        <f>Q13*K13</f>
        <v>21</v>
      </c>
      <c r="S13" s="7" cm="1">
        <f t="array" ref="S13">FLEX_SIMPLE_ELS_T(D13,E13,F13,G13,H13,I13,R13,J13,K13,O13,P13,3)</f>
        <v>19.249181153943059</v>
      </c>
      <c r="T13" s="11" cm="1">
        <f t="array" ref="T13">FLEX_SIMPLE_ELS_T(D13,E13,F13,G13,H13,I13,R13,J13,K13,O13,P13,1)</f>
        <v>49.44703854657201</v>
      </c>
      <c r="U13" s="11" cm="1">
        <f t="array" ref="U13">FLEX_SIMPLE_ELS_T(D13,E13,F13,G13,H13,I13,R13,J13,K13,O13,P13,2)</f>
        <v>0</v>
      </c>
      <c r="V13" s="7">
        <f>MAX(0.26*D13*H13*L13/N13*10000,0.0013*D13*H13*10000)</f>
        <v>5.6752135969171791</v>
      </c>
      <c r="W13" s="9">
        <f t="shared" ref="W13:W15" si="1">0.04*(D13*(G13-F13)+E13*F13)*10000</f>
        <v>174</v>
      </c>
      <c r="X13" s="13" cm="1">
        <f t="array" ref="X13">FLEX_SIMPLE_ELS_T(D13,E13,F13,G13,H13,I13,R13,J13,K13,O13,P13,4)</f>
        <v>16.183359706132777</v>
      </c>
      <c r="Y13" s="13" cm="1">
        <f t="array" ref="Y13">FLEX_SIMPLE_ELS_T(D13,E13,F13,G13,H13,I13,R13,J13,K13,O13,P13,5)</f>
        <v>396.15989574559217</v>
      </c>
      <c r="Z13" s="10">
        <v>12</v>
      </c>
      <c r="AA13" s="10">
        <v>20</v>
      </c>
      <c r="AB13" s="7">
        <f>(AA13/10)^2*PI()/4*Z13</f>
        <v>37.699111843077517</v>
      </c>
      <c r="AC13" s="12">
        <f>+AB13*7850/(D13*F13*10000)</f>
        <v>591.87605593631713</v>
      </c>
    </row>
    <row r="14" spans="3:29">
      <c r="C14" s="4" t="s">
        <v>47</v>
      </c>
      <c r="D14" s="5">
        <v>0.5</v>
      </c>
      <c r="E14" s="5">
        <v>1.2</v>
      </c>
      <c r="F14" s="5">
        <v>0.1</v>
      </c>
      <c r="G14" s="5">
        <v>0.9</v>
      </c>
      <c r="H14" s="5">
        <v>0.68</v>
      </c>
      <c r="I14" s="5">
        <v>0.3</v>
      </c>
      <c r="J14" s="5">
        <v>1300</v>
      </c>
      <c r="K14" s="5">
        <v>35</v>
      </c>
      <c r="L14" s="6">
        <f>IF(K14&gt;50,2.12*LN(1+0.1*(K14+8)),0.3*K14^(2/3))</f>
        <v>3.2099624416952368</v>
      </c>
      <c r="M14" s="6" cm="1">
        <f t="array" ref="M14">FLEX_SIMPLE_ELS_T(D14,E14,F14,G14,H14,I14,R14,J14,K14,O14,P14,6)</f>
        <v>3.2099624416952381</v>
      </c>
      <c r="N14" s="5">
        <v>500</v>
      </c>
      <c r="O14" s="15">
        <f t="shared" si="0"/>
        <v>400</v>
      </c>
      <c r="P14" s="5">
        <v>15</v>
      </c>
      <c r="Q14" s="5">
        <v>0.6</v>
      </c>
      <c r="R14" s="4">
        <f>Q14*K14</f>
        <v>21</v>
      </c>
      <c r="S14" s="7" cm="1">
        <f t="array" ref="S14">FLEX_SIMPLE_ELS_T(D14,E14,F14,G14,H14,I14,R14,J14,K14,O14,P14,3)</f>
        <v>20.676912740404809</v>
      </c>
      <c r="T14" s="11" cm="1">
        <f t="array" ref="T14">FLEX_SIMPLE_ELS_T(D14,E14,F14,G14,H14,I14,R14,J14,K14,O14,P14,1)</f>
        <v>53.806108557150452</v>
      </c>
      <c r="U14" s="11" cm="1">
        <f t="array" ref="U14">FLEX_SIMPLE_ELS_T(D14,E14,F14,G14,H14,I14,R14,J14,K14,O14,P14,2)</f>
        <v>0</v>
      </c>
      <c r="V14" s="7">
        <f>MAX(0.26*D14*H14*L14/N14*10000,0.0013*D14*H14*10000)</f>
        <v>5.6752135969171791</v>
      </c>
      <c r="W14" s="9">
        <f t="shared" si="1"/>
        <v>208.00000000000003</v>
      </c>
      <c r="X14" s="13" cm="1">
        <f t="array" ref="X14">FLEX_SIMPLE_ELS_T(D14,E14,F14,G14,H14,I14,R14,J14,K14,O14,P14,4)</f>
        <v>17.176583621776935</v>
      </c>
      <c r="Y14" s="13" cm="1">
        <f t="array" ref="Y14">FLEX_SIMPLE_ELS_T(D14,E14,F14,G14,H14,I14,R14,J14,K14,O14,P14,5)</f>
        <v>395.77713389200642</v>
      </c>
      <c r="Z14" s="10">
        <v>5</v>
      </c>
      <c r="AA14" s="10">
        <v>16</v>
      </c>
      <c r="AB14" s="7">
        <f>(AA14/10)^2*PI()/4*Z14</f>
        <v>10.053096491487338</v>
      </c>
      <c r="AC14" s="12">
        <f>+AB14*7850/(D14*F14*10000)</f>
        <v>157.83361491635122</v>
      </c>
    </row>
    <row r="15" spans="3:29">
      <c r="C15" s="4" t="s">
        <v>47</v>
      </c>
      <c r="D15" s="5">
        <v>0.5</v>
      </c>
      <c r="E15" s="5">
        <v>1.2</v>
      </c>
      <c r="F15" s="5">
        <v>0.1</v>
      </c>
      <c r="G15" s="5">
        <v>0.9</v>
      </c>
      <c r="H15" s="5">
        <v>0.68</v>
      </c>
      <c r="I15" s="5">
        <v>0.03</v>
      </c>
      <c r="J15" s="5">
        <v>15000</v>
      </c>
      <c r="K15" s="5">
        <v>35</v>
      </c>
      <c r="L15" s="6">
        <f>IF(K15&gt;50,2.12*LN(1+0.1*(K15+8)),0.3*K15^(2/3))</f>
        <v>3.2099624416952368</v>
      </c>
      <c r="M15" s="6" cm="1">
        <f t="array" ref="M15">FLEX_SIMPLE_ELS_T(D15,E15,F15,G15,H15,I15,R15,J15,K15,O15,P15,6)</f>
        <v>3.2099624416952381</v>
      </c>
      <c r="N15" s="5">
        <v>500</v>
      </c>
      <c r="O15" s="15">
        <f t="shared" si="0"/>
        <v>400</v>
      </c>
      <c r="P15" s="5">
        <v>15</v>
      </c>
      <c r="Q15" s="5">
        <v>0.6</v>
      </c>
      <c r="R15" s="4">
        <f>Q15*K15</f>
        <v>21</v>
      </c>
      <c r="S15" s="7" cm="1">
        <f t="array" ref="S15">FLEX_SIMPLE_ELS_T(D15,E15,F15,G15,H15,I15,R15,J15,K15,O15,P15,3)</f>
        <v>216.27614008566391</v>
      </c>
      <c r="T15" s="11" cm="1">
        <f t="array" ref="T15">FLEX_SIMPLE_ELS_T(D15,E15,F15,G15,H15,I15,R15,J15,K15,O15,P15,1)</f>
        <v>581.93384298178341</v>
      </c>
      <c r="U15" s="11" cm="1">
        <f t="array" ref="U15">FLEX_SIMPLE_ELS_T(D15,E15,F15,G15,H15,I15,R15,J15,K15,O15,P15,2)</f>
        <v>722.50748454141342</v>
      </c>
      <c r="V15" s="7">
        <f>MAX(0.26*D15*H15*L15/N15*10000,0.0013*D15*H15*10000)</f>
        <v>5.6752135969171791</v>
      </c>
      <c r="W15" s="9">
        <f t="shared" si="1"/>
        <v>208.00000000000003</v>
      </c>
      <c r="X15" s="13" cm="1">
        <f t="array" ref="X15">FLEX_SIMPLE_ELS_T(D15,E15,F15,G15,H15,I15,R15,J15,K15,O15,P15,4)</f>
        <v>21.000000000000021</v>
      </c>
      <c r="Y15" s="13" cm="1">
        <f t="array" ref="Y15">FLEX_SIMPLE_ELS_T(D15,E15,F15,G15,H15,I15,R15,J15,K15,O15,P15,5)</f>
        <v>399.99999999999966</v>
      </c>
      <c r="Z15" s="10">
        <v>5</v>
      </c>
      <c r="AA15" s="10">
        <v>16</v>
      </c>
      <c r="AB15" s="7">
        <f>(AA15/10)^2*PI()/4*Z15</f>
        <v>10.053096491487338</v>
      </c>
      <c r="AC15" s="12">
        <f>+AB15*7850/(D15*F15*10000)</f>
        <v>157.83361491635122</v>
      </c>
    </row>
    <row r="24" spans="1:7">
      <c r="B24" t="s">
        <v>48</v>
      </c>
      <c r="C24" s="32">
        <v>11</v>
      </c>
    </row>
    <row r="26" spans="1:7" ht="23.45">
      <c r="B26" s="40" t="s">
        <v>85</v>
      </c>
      <c r="C26" s="40"/>
      <c r="D26" s="40"/>
      <c r="E26" s="40"/>
    </row>
    <row r="30" spans="1:7" ht="15.6">
      <c r="A30" s="23" t="s">
        <v>50</v>
      </c>
      <c r="B30" s="24"/>
      <c r="C30" s="24"/>
      <c r="D30" s="25" t="s">
        <v>51</v>
      </c>
      <c r="E30" s="24"/>
      <c r="F30" s="24"/>
      <c r="G30" s="24"/>
    </row>
    <row r="31" spans="1:7">
      <c r="B31" s="21" t="s">
        <v>86</v>
      </c>
      <c r="C31" s="30" cm="1">
        <f t="array" aca="1" ref="C31" ca="1">INDIRECT("D" &amp; C24)</f>
        <v>0.18</v>
      </c>
      <c r="D31" s="22" t="s">
        <v>53</v>
      </c>
    </row>
    <row r="32" spans="1:7">
      <c r="B32" s="21" t="s">
        <v>87</v>
      </c>
      <c r="C32" s="30" cm="1">
        <f t="array" aca="1" ref="C32" ca="1">INDIRECT("E" &amp; C24)</f>
        <v>0.9</v>
      </c>
      <c r="D32" s="22" t="s">
        <v>53</v>
      </c>
    </row>
    <row r="33" spans="1:7">
      <c r="B33" s="21" t="s">
        <v>88</v>
      </c>
      <c r="C33" s="30" cm="1">
        <f t="array" aca="1" ref="C33" ca="1">INDIRECT("F" &amp; C24)</f>
        <v>0.1</v>
      </c>
      <c r="D33" s="22" t="s">
        <v>53</v>
      </c>
    </row>
    <row r="34" spans="1:7">
      <c r="B34" s="21" t="s">
        <v>54</v>
      </c>
      <c r="C34" s="30" cm="1">
        <f t="array" aca="1" ref="C34" ca="1">INDIRECT("G" &amp; C24)</f>
        <v>0.9</v>
      </c>
      <c r="D34" s="26" t="s">
        <v>53</v>
      </c>
    </row>
    <row r="35" spans="1:7">
      <c r="B35" s="21" t="s">
        <v>55</v>
      </c>
      <c r="C35" s="30" cm="1">
        <f t="array" aca="1" ref="C35" ca="1">INDIRECT("H" &amp; C24)</f>
        <v>0.6</v>
      </c>
      <c r="D35" s="22" t="s">
        <v>53</v>
      </c>
    </row>
    <row r="36" spans="1:7">
      <c r="B36" s="21" t="s">
        <v>56</v>
      </c>
      <c r="C36" s="30" cm="1">
        <f t="array" aca="1" ref="C36" ca="1">INDIRECT("I" &amp; C24)</f>
        <v>0.3</v>
      </c>
      <c r="D36" s="22" t="s">
        <v>53</v>
      </c>
    </row>
    <row r="38" spans="1:7" ht="15.6">
      <c r="A38" s="23" t="s">
        <v>57</v>
      </c>
      <c r="B38" s="31"/>
      <c r="C38" s="24"/>
      <c r="D38" s="27"/>
      <c r="E38" s="24"/>
      <c r="F38" s="24"/>
      <c r="G38" s="24"/>
    </row>
    <row r="39" spans="1:7">
      <c r="B39" s="21" t="s">
        <v>58</v>
      </c>
      <c r="C39" s="30" cm="1">
        <f t="array" aca="1" ref="C39" ca="1">INDIRECT("J" &amp; C24)</f>
        <v>400</v>
      </c>
      <c r="D39" s="22" t="s">
        <v>59</v>
      </c>
    </row>
    <row r="40" spans="1:7">
      <c r="B40" s="21"/>
      <c r="D40" s="22"/>
    </row>
    <row r="41" spans="1:7" ht="15.6">
      <c r="A41" s="23" t="s">
        <v>60</v>
      </c>
      <c r="B41" s="31"/>
      <c r="C41" s="24"/>
      <c r="D41" s="27"/>
      <c r="E41" s="24"/>
      <c r="F41" s="24"/>
      <c r="G41" s="24"/>
    </row>
    <row r="42" spans="1:7">
      <c r="B42" s="21" t="s">
        <v>61</v>
      </c>
      <c r="C42" s="30" cm="1">
        <f t="array" aca="1" ref="C42" ca="1">INDIRECT("K" &amp; C24)</f>
        <v>20</v>
      </c>
      <c r="D42" s="22" t="s">
        <v>62</v>
      </c>
    </row>
    <row r="43" spans="1:7">
      <c r="B43" s="21" t="s">
        <v>63</v>
      </c>
      <c r="C43" s="30" cm="1">
        <f t="array" aca="1" ref="C43" ca="1">INDIRECT("L" &amp; C24)</f>
        <v>2.2104188991842313</v>
      </c>
      <c r="D43" s="22" t="s">
        <v>62</v>
      </c>
    </row>
    <row r="44" spans="1:7">
      <c r="B44" s="21" t="s">
        <v>64</v>
      </c>
      <c r="C44" s="30" cm="1">
        <f t="array" aca="1" ref="C44" ca="1">INDIRECT("N" &amp; C24)</f>
        <v>500</v>
      </c>
      <c r="D44" s="22" t="s">
        <v>62</v>
      </c>
    </row>
    <row r="45" spans="1:7">
      <c r="B45" s="21"/>
      <c r="D45" s="22"/>
    </row>
    <row r="46" spans="1:7" ht="15.6">
      <c r="A46" s="23" t="s">
        <v>65</v>
      </c>
      <c r="B46" s="31"/>
      <c r="C46" s="24"/>
      <c r="D46" s="27"/>
      <c r="E46" s="24"/>
      <c r="F46" s="24"/>
      <c r="G46" s="24"/>
    </row>
    <row r="47" spans="1:7">
      <c r="B47" s="28" t="s">
        <v>66</v>
      </c>
      <c r="C47" s="30" cm="1">
        <f t="array" aca="1" ref="C47" ca="1">INDIRECT("P" &amp; C24)</f>
        <v>15</v>
      </c>
      <c r="D47" s="22"/>
    </row>
    <row r="48" spans="1:7">
      <c r="B48" s="21"/>
      <c r="D48" s="22"/>
    </row>
    <row r="49" spans="1:7" ht="15.6">
      <c r="A49" s="23" t="s">
        <v>67</v>
      </c>
      <c r="B49" s="31"/>
      <c r="C49" s="24"/>
      <c r="D49" s="27"/>
      <c r="E49" s="24"/>
      <c r="F49" s="24"/>
      <c r="G49" s="24"/>
    </row>
    <row r="50" spans="1:7">
      <c r="B50" s="29" t="s">
        <v>68</v>
      </c>
      <c r="C50" s="30" cm="1">
        <f t="array" aca="1" ref="C50" ca="1">INDIRECT("O" &amp; C24)</f>
        <v>400</v>
      </c>
      <c r="D50" s="22" t="s">
        <v>62</v>
      </c>
    </row>
    <row r="51" spans="1:7">
      <c r="B51" s="29" t="s">
        <v>69</v>
      </c>
      <c r="C51" s="30" cm="1">
        <f t="array" aca="1" ref="C51" ca="1">INDIRECT("R" &amp; C24)</f>
        <v>12</v>
      </c>
      <c r="D51" s="22" t="s">
        <v>62</v>
      </c>
    </row>
    <row r="52" spans="1:7">
      <c r="B52" s="21"/>
      <c r="D52" s="22"/>
    </row>
    <row r="53" spans="1:7" ht="15.6">
      <c r="A53" s="23" t="s">
        <v>70</v>
      </c>
      <c r="B53" s="31"/>
      <c r="C53" s="24"/>
      <c r="D53" s="27"/>
      <c r="E53" s="24"/>
      <c r="F53" s="24"/>
      <c r="G53" s="24"/>
    </row>
    <row r="54" spans="1:7">
      <c r="B54" s="21" t="s">
        <v>71</v>
      </c>
      <c r="C54" s="30" cm="1">
        <f t="array" aca="1" ref="C54" ca="1">INDIRECT("T" &amp; C24)</f>
        <v>18.090432013957326</v>
      </c>
      <c r="D54" s="22" t="s">
        <v>72</v>
      </c>
    </row>
    <row r="55" spans="1:7">
      <c r="B55" s="21" t="s">
        <v>73</v>
      </c>
      <c r="C55" s="30" cm="1">
        <f t="array" aca="1" ref="C55" ca="1">INDIRECT("U" &amp; C24)</f>
        <v>0</v>
      </c>
      <c r="D55" s="22" t="s">
        <v>72</v>
      </c>
    </row>
    <row r="56" spans="1:7">
      <c r="B56" s="28" t="s">
        <v>74</v>
      </c>
      <c r="C56" s="30" cm="1">
        <f t="array" aca="1" ref="C56" ca="1">INDIRECT("V" &amp; C24)</f>
        <v>1.4039999999999997</v>
      </c>
      <c r="D56" s="22" t="s">
        <v>72</v>
      </c>
    </row>
    <row r="57" spans="1:7">
      <c r="B57" s="28" t="s">
        <v>75</v>
      </c>
      <c r="C57" s="30" cm="1">
        <f t="array" aca="1" ref="C57" ca="1">INDIRECT("W" &amp; C24)</f>
        <v>93.600000000000009</v>
      </c>
      <c r="D57" s="22" t="s">
        <v>72</v>
      </c>
    </row>
    <row r="58" spans="1:7">
      <c r="B58" s="21"/>
      <c r="D58" s="22"/>
    </row>
    <row r="59" spans="1:7" ht="15.6">
      <c r="A59" s="23" t="s">
        <v>76</v>
      </c>
      <c r="B59" s="31"/>
      <c r="C59" s="24"/>
      <c r="D59" s="27"/>
      <c r="E59" s="24"/>
      <c r="F59" s="24"/>
      <c r="G59" s="24"/>
    </row>
    <row r="60" spans="1:7" ht="16.149999999999999">
      <c r="B60" s="29" t="s">
        <v>77</v>
      </c>
      <c r="C60" s="30" cm="1">
        <f t="array" aca="1" ref="C60" ca="1">INDIRECT("AC" &amp; C24)</f>
        <v>2568.9064927791537</v>
      </c>
      <c r="D60" s="22" t="s">
        <v>78</v>
      </c>
    </row>
  </sheetData>
  <mergeCells count="3">
    <mergeCell ref="C9:C10"/>
    <mergeCell ref="Z9:Z10"/>
    <mergeCell ref="B26:E26"/>
  </mergeCells>
  <conditionalFormatting sqref="S11:S15">
    <cfRule type="expression" priority="3" stopIfTrue="1">
      <formula>$R11=0</formula>
    </cfRule>
    <cfRule type="expression" dxfId="1" priority="4" stopIfTrue="1">
      <formula>$R11=$Q11</formula>
    </cfRule>
  </conditionalFormatting>
  <conditionalFormatting sqref="X11:X15">
    <cfRule type="expression" priority="1" stopIfTrue="1">
      <formula>$R11=0</formula>
    </cfRule>
    <cfRule type="expression" dxfId="0" priority="2" stopIfTrue="1">
      <formula>$R11=$Q11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ArteliaGroup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LOYSEL Arthur</dc:creator>
  <cp:keywords/>
  <dc:description/>
  <cp:lastModifiedBy>LOYSEL Arthur</cp:lastModifiedBy>
  <cp:revision/>
  <dcterms:created xsi:type="dcterms:W3CDTF">2024-08-05T09:19:05Z</dcterms:created>
  <dcterms:modified xsi:type="dcterms:W3CDTF">2024-10-25T04:04:59Z</dcterms:modified>
  <cp:category/>
  <cp:contentStatus/>
</cp:coreProperties>
</file>