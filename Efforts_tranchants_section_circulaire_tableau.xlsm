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00000000-0000-0000-0000-000000000000}"/>
  <workbookPr codeName="ThisWorkbook" defaultThemeVersion="166925"/>
  <mc:AlternateContent xmlns:mc="http://schemas.openxmlformats.org/markup-compatibility/2006">
    <mc:Choice Requires="x15">
      <x15ac:absPath xmlns:x15ac="http://schemas.microsoft.com/office/spreadsheetml/2010/11/ac" url="C:\Stage_2A\standardisation_artelia\Notice\effort_tranchant\"/>
    </mc:Choice>
  </mc:AlternateContent>
  <xr:revisionPtr revIDLastSave="2" documentId="13_ncr:1_{D532F87D-B731-47A1-AFBC-0A5D6529717F}" xr6:coauthVersionLast="47" xr6:coauthVersionMax="47" xr10:uidLastSave="{EB27F0DE-C641-49BA-B184-0619CA8FF24E}"/>
  <bookViews>
    <workbookView xWindow="-108" yWindow="-108" windowWidth="23256" windowHeight="14016" firstSheet="2" xr2:uid="{6BEB8F55-9FF2-4C02-B9B6-547F97558717}"/>
  </bookViews>
  <sheets>
    <sheet name="Manuel d'utilisation" sheetId="2" r:id="rId1"/>
    <sheet name="Effort tranchant incli. bielle" sheetId="4" r:id="rId2"/>
    <sheet name="Effort tranchant standard" sheetId="1" r:id="rId3"/>
    <sheet name="Calcul fck étoile" sheetId="3" r:id="rId4"/>
  </sheets>
  <definedNames>
    <definedName name="_xlnm.Print_Area" localSheetId="1">'Effort tranchant incli. bielle'!$B$24:$H$58</definedName>
    <definedName name="_xlnm.Print_Area" localSheetId="2">'Effort tranchant standard'!$B$24:$H$55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9" i="4" l="1"/>
  <c r="N19" i="4"/>
  <c r="K19" i="4"/>
  <c r="Z18" i="4"/>
  <c r="N18" i="4"/>
  <c r="K18" i="4"/>
  <c r="Z17" i="4"/>
  <c r="N17" i="4"/>
  <c r="K17" i="4"/>
  <c r="Z16" i="4"/>
  <c r="N16" i="4"/>
  <c r="K16" i="4"/>
  <c r="Q19" i="4" a="1"/>
  <c r="R19" i="4" a="1"/>
  <c r="T19" i="4" a="1"/>
  <c r="R17" i="4" a="1"/>
  <c r="Q18" i="4" a="1"/>
  <c r="R18" i="4" a="1"/>
  <c r="S18" i="4" a="1"/>
  <c r="U19" i="4" a="1"/>
  <c r="U18" i="4" a="1"/>
  <c r="R16" i="4" a="1"/>
  <c r="Q17" i="4" a="1"/>
  <c r="T17" i="4" a="1"/>
  <c r="U17" i="4" a="1"/>
  <c r="S16" i="4" a="1"/>
  <c r="S17" i="4" a="1"/>
  <c r="U16" i="4" a="1"/>
  <c r="Q16" i="4" a="1"/>
  <c r="T16" i="4" a="1"/>
  <c r="T18" i="4" a="1"/>
  <c r="S19" i="4" a="1"/>
  <c r="Q16" i="1" a="1"/>
  <c r="R16" i="1" a="1"/>
  <c r="D35" i="1" a="1"/>
  <c r="D54" i="4" a="1"/>
  <c r="D39" i="1" a="1"/>
  <c r="D53" i="4" a="1"/>
  <c r="D42" i="1" a="1"/>
  <c r="D30" i="4" a="1"/>
  <c r="D35" i="4" a="1"/>
  <c r="D40" i="4" a="1"/>
  <c r="D43" i="1" a="1"/>
  <c r="D31" i="4" a="1"/>
  <c r="D42" i="4" a="1"/>
  <c r="D36" i="1" a="1"/>
  <c r="D57" i="4" a="1"/>
  <c r="D47" i="1" a="1"/>
  <c r="D44" i="4" a="1"/>
  <c r="D40" i="1" a="1"/>
  <c r="D30" i="1" a="1"/>
  <c r="D50" i="4" a="1"/>
  <c r="D58" i="4" a="1"/>
  <c r="D41" i="4" a="1"/>
  <c r="D31" i="1" a="1"/>
  <c r="D44" i="1" a="1"/>
  <c r="D47" i="4" a="1"/>
  <c r="D36" i="4" a="1"/>
  <c r="D43" i="4" a="1"/>
  <c r="D32" i="1" a="1"/>
  <c r="D39" i="4" a="1"/>
  <c r="D32" i="4" a="1"/>
  <c r="Q16" i="1" l="1"/>
  <c r="R16" i="1"/>
  <c r="D31" i="1"/>
  <c r="D36" i="1"/>
  <c r="D43" i="1"/>
  <c r="D30" i="1"/>
  <c r="D42" i="1"/>
  <c r="D44" i="1"/>
  <c r="D32" i="1"/>
  <c r="D39" i="1"/>
  <c r="D40" i="1"/>
  <c r="D47" i="1"/>
  <c r="D35" i="1"/>
  <c r="D32" i="4"/>
  <c r="D53" i="4"/>
  <c r="D41" i="4"/>
  <c r="D42" i="4"/>
  <c r="D40" i="4"/>
  <c r="D44" i="4"/>
  <c r="D54" i="4"/>
  <c r="D43" i="4"/>
  <c r="D36" i="4"/>
  <c r="D31" i="4"/>
  <c r="D47" i="4"/>
  <c r="D57" i="4"/>
  <c r="D35" i="4"/>
  <c r="D39" i="4"/>
  <c r="D58" i="4"/>
  <c r="D30" i="4"/>
  <c r="D50" i="4"/>
  <c r="U17" i="4"/>
  <c r="U18" i="4"/>
  <c r="U16" i="4"/>
  <c r="U19" i="4"/>
  <c r="T18" i="4"/>
  <c r="S18" i="4"/>
  <c r="R18" i="4"/>
  <c r="Q18" i="4"/>
  <c r="T17" i="4"/>
  <c r="S17" i="4"/>
  <c r="R17" i="4"/>
  <c r="Q17" i="4"/>
  <c r="T19" i="4"/>
  <c r="S19" i="4"/>
  <c r="R19" i="4"/>
  <c r="Q19" i="4"/>
  <c r="T16" i="4"/>
  <c r="S16" i="4"/>
  <c r="R16" i="4"/>
  <c r="Q16" i="4"/>
  <c r="N17" i="1" l="1"/>
  <c r="N18" i="1"/>
  <c r="N19" i="1"/>
  <c r="N16" i="1"/>
  <c r="K17" i="1"/>
  <c r="K18" i="1"/>
  <c r="K19" i="1"/>
  <c r="K16" i="1"/>
  <c r="K11" i="3"/>
  <c r="K12" i="3"/>
  <c r="K13" i="3"/>
  <c r="K10" i="3"/>
  <c r="J11" i="3"/>
  <c r="J12" i="3"/>
  <c r="J13" i="3"/>
  <c r="J10" i="3"/>
  <c r="I11" i="3"/>
  <c r="I12" i="3"/>
  <c r="I13" i="3"/>
  <c r="I10" i="3"/>
  <c r="H11" i="3"/>
  <c r="H12" i="3"/>
  <c r="H13" i="3"/>
  <c r="H10" i="3"/>
  <c r="Q17" i="1" a="1"/>
  <c r="R17" i="1" a="1"/>
  <c r="S17" i="1" a="1"/>
  <c r="T17" i="1" a="1"/>
  <c r="Q18" i="1" a="1"/>
  <c r="R18" i="1" a="1"/>
  <c r="S18" i="1" a="1"/>
  <c r="T18" i="1" a="1"/>
  <c r="S19" i="1" a="1"/>
  <c r="Q19" i="1" a="1"/>
  <c r="R19" i="1" a="1"/>
  <c r="T19" i="1" a="1"/>
  <c r="T16" i="1" a="1"/>
  <c r="S16" i="1" a="1"/>
  <c r="D41" i="1" a="1"/>
  <c r="D41" i="1" l="1"/>
  <c r="S16" i="1"/>
  <c r="T16" i="1"/>
  <c r="T19" i="1"/>
  <c r="R19" i="1"/>
  <c r="Q19" i="1"/>
  <c r="S19" i="1"/>
  <c r="T18" i="1"/>
  <c r="S18" i="1"/>
  <c r="R18" i="1"/>
  <c r="Q18" i="1"/>
  <c r="T17" i="1"/>
  <c r="S17" i="1"/>
  <c r="R17" i="1"/>
  <c r="Q17" i="1"/>
  <c r="O13" i="3"/>
  <c r="P13" i="3" s="1"/>
  <c r="O10" i="3"/>
  <c r="P10" i="3" s="1"/>
  <c r="O12" i="3"/>
  <c r="P12" i="3" s="1"/>
  <c r="O11" i="3"/>
  <c r="P11" i="3" s="1"/>
  <c r="D50" i="1" a="1"/>
  <c r="D51" i="1" a="1"/>
  <c r="D54" i="1" a="1"/>
  <c r="D55" i="1" a="1"/>
  <c r="D55" i="1" l="1"/>
  <c r="D54" i="1"/>
  <c r="D51" i="1"/>
  <c r="D50" i="1"/>
  <c r="Y16" i="1"/>
  <c r="Y19" i="1" l="1"/>
  <c r="Y18" i="1"/>
  <c r="Y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LOYSEL Arthur</author>
  </authors>
  <commentList>
    <comment ref="H14" authorId="0" shapeId="0" xr:uid="{2DAC49DB-39D9-44F0-BF18-304E5862766D}">
      <text>
        <r>
          <rPr>
            <b/>
            <sz val="9"/>
            <color indexed="81"/>
            <rFont val="Tahoma"/>
            <charset val="1"/>
          </rPr>
          <t>LOYSEL Arthur:</t>
        </r>
        <r>
          <rPr>
            <sz val="9"/>
            <color indexed="81"/>
            <rFont val="Tahoma"/>
            <charset val="1"/>
          </rPr>
          <t xml:space="preserve">
Section d'acier longitudinal au niveau de la section considérée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LOYSEL Arthur</author>
  </authors>
  <commentList>
    <comment ref="H14" authorId="0" shapeId="0" xr:uid="{1B1348DD-07D8-4C6C-8119-46AF283A81EE}">
      <text>
        <r>
          <rPr>
            <b/>
            <sz val="9"/>
            <color indexed="81"/>
            <rFont val="Tahoma"/>
            <charset val="1"/>
          </rPr>
          <t>LOYSEL Arthur:</t>
        </r>
        <r>
          <rPr>
            <sz val="9"/>
            <color indexed="81"/>
            <rFont val="Tahoma"/>
            <charset val="1"/>
          </rPr>
          <t xml:space="preserve">
Section d'acier longitudinal au niveau de la section considérée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<sst xmlns="http://schemas.openxmlformats.org/spreadsheetml/2006/main" count="240" uniqueCount="115">
  <si>
    <t>Manuel d'utilisation</t>
  </si>
  <si>
    <t>Auteur:</t>
  </si>
  <si>
    <t>Arthur LOYSEL</t>
  </si>
  <si>
    <t>Ce fichier contient des feuilles de calculs qui sont présentées comme suit:</t>
  </si>
  <si>
    <t>Onglet 1</t>
  </si>
  <si>
    <t>Onglet 2</t>
  </si>
  <si>
    <t>Calcul du ferraillage transversal pour une section circulaire avec la méthode de l'inclinaison variable des bielles de béton</t>
  </si>
  <si>
    <t>Onglet 3</t>
  </si>
  <si>
    <r>
      <t>Calcul du ferraillage transversal pour une section circulaire avec la méthode standard (</t>
    </r>
    <r>
      <rPr>
        <sz val="11"/>
        <color theme="1"/>
        <rFont val="Symbol"/>
        <family val="1"/>
        <charset val="2"/>
      </rPr>
      <t>q</t>
    </r>
    <r>
      <rPr>
        <sz val="11"/>
        <color theme="1"/>
        <rFont val="Calibri"/>
        <family val="2"/>
        <scheme val="minor"/>
      </rPr>
      <t>=45°)</t>
    </r>
  </si>
  <si>
    <t>Onglet 4</t>
  </si>
  <si>
    <r>
      <t>Calcul de f</t>
    </r>
    <r>
      <rPr>
        <vertAlign val="subscript"/>
        <sz val="11"/>
        <color theme="1"/>
        <rFont val="Calibri"/>
        <family val="2"/>
        <scheme val="minor"/>
      </rPr>
      <t>ck</t>
    </r>
    <r>
      <rPr>
        <sz val="11"/>
        <color theme="1"/>
        <rFont val="Calibri"/>
        <family val="2"/>
        <scheme val="minor"/>
      </rPr>
      <t>* pour les fondations profondes</t>
    </r>
  </si>
  <si>
    <t>Mode d'utilisation</t>
  </si>
  <si>
    <r>
      <t xml:space="preserve">Les données à rentrées sont dans le tableau en </t>
    </r>
    <r>
      <rPr>
        <sz val="11"/>
        <color rgb="FFFF0000"/>
        <rFont val="Calibri"/>
        <family val="2"/>
        <scheme val="minor"/>
      </rPr>
      <t>rouge</t>
    </r>
    <r>
      <rPr>
        <sz val="11"/>
        <color theme="1"/>
        <rFont val="Calibri"/>
        <family val="2"/>
        <scheme val="minor"/>
      </rPr>
      <t>.</t>
    </r>
  </si>
  <si>
    <t>Une synthèse des résultats est disponible en bas du tableau. Pour afficher les résultats de la ligne qui vous intéresse, rentrez le numéro de la ligne à côté de "Afficher ligne"</t>
  </si>
  <si>
    <r>
      <t xml:space="preserve">Dans le cas des </t>
    </r>
    <r>
      <rPr>
        <b/>
        <sz val="11"/>
        <color theme="1"/>
        <rFont val="Calibri"/>
        <family val="2"/>
        <scheme val="minor"/>
      </rPr>
      <t>fondations profondes</t>
    </r>
    <r>
      <rPr>
        <sz val="11"/>
        <color theme="1"/>
        <rFont val="Calibri"/>
        <family val="2"/>
        <scheme val="minor"/>
      </rPr>
      <t>, la valeur caractéristique à la compression du béton est minorée par rapport à la valeur caractéristique classique f</t>
    </r>
    <r>
      <rPr>
        <vertAlign val="subscript"/>
        <sz val="11"/>
        <color theme="1"/>
        <rFont val="Calibri"/>
        <family val="2"/>
        <scheme val="minor"/>
      </rPr>
      <t>ck</t>
    </r>
    <r>
      <rPr>
        <sz val="11"/>
        <color theme="1"/>
        <rFont val="Calibri"/>
        <family val="2"/>
        <scheme val="minor"/>
      </rPr>
      <t>. La formule à prendre en compte est la suivante:</t>
    </r>
  </si>
  <si>
    <t>La feuille "Calcul fck étoile" vous permet de le calculer en fonction de la situation de projet.</t>
  </si>
  <si>
    <t xml:space="preserve">Dans chaque feuille, B correspond au diamètre du pieux. </t>
  </si>
  <si>
    <t>Si l'on souhaite s'affranchir du calcul des armatures à l'effort tranchant, on doit respecter les conditions suivantes:</t>
  </si>
  <si>
    <t>Limites du fichier</t>
  </si>
  <si>
    <t>La méthode de l'inclinaison variable des bielles permet de réduire la section d'acier transversale, mais en contrepartie, on augmente la section d'acier longitudinale: voir Pratique de l'eurocode §4.6 du chapitre effort tranchant</t>
  </si>
  <si>
    <t>Cette méthode réduit aussi la valeur de VRd,max (valeur limite de l'écrasement des bielles de béton) donc une section qui pourrait passer avec la méthode standard, peut ne pas passer avec cette méthode.</t>
  </si>
  <si>
    <t>Feuille valable que pour des éléments de hauteur constante</t>
  </si>
  <si>
    <t>Bibliographie</t>
  </si>
  <si>
    <t>Pratique de l'Eurocode 2, J. ROUX, Chapitre 8</t>
  </si>
  <si>
    <t>Guide du Cerema, Eurocode 7, Application aux fondations profondes (NF P94-262)</t>
  </si>
  <si>
    <t>TRANCHANT</t>
  </si>
  <si>
    <t>B</t>
  </si>
  <si>
    <t>d</t>
  </si>
  <si>
    <t>z</t>
  </si>
  <si>
    <r>
      <t>V</t>
    </r>
    <r>
      <rPr>
        <vertAlign val="subscript"/>
        <sz val="9"/>
        <rFont val="Verdana"/>
        <family val="2"/>
      </rPr>
      <t>ed</t>
    </r>
  </si>
  <si>
    <r>
      <t>N</t>
    </r>
    <r>
      <rPr>
        <vertAlign val="subscript"/>
        <sz val="9"/>
        <rFont val="Verdana"/>
        <family val="2"/>
      </rPr>
      <t>ed</t>
    </r>
  </si>
  <si>
    <r>
      <t>A</t>
    </r>
    <r>
      <rPr>
        <vertAlign val="subscript"/>
        <sz val="9"/>
        <rFont val="Verdana"/>
        <family val="2"/>
      </rPr>
      <t>sl</t>
    </r>
  </si>
  <si>
    <r>
      <t>f</t>
    </r>
    <r>
      <rPr>
        <vertAlign val="subscript"/>
        <sz val="9"/>
        <rFont val="Verdana"/>
        <family val="2"/>
      </rPr>
      <t>ck</t>
    </r>
    <r>
      <rPr>
        <vertAlign val="superscript"/>
        <sz val="9"/>
        <rFont val="Verdana"/>
        <family val="2"/>
      </rPr>
      <t>(*)</t>
    </r>
  </si>
  <si>
    <r>
      <t>g</t>
    </r>
    <r>
      <rPr>
        <vertAlign val="subscript"/>
        <sz val="9"/>
        <rFont val="Verdana"/>
        <family val="2"/>
      </rPr>
      <t>c</t>
    </r>
  </si>
  <si>
    <r>
      <t>f</t>
    </r>
    <r>
      <rPr>
        <vertAlign val="subscript"/>
        <sz val="9"/>
        <rFont val="Verdana"/>
        <family val="2"/>
      </rPr>
      <t>cd</t>
    </r>
  </si>
  <si>
    <r>
      <t>f</t>
    </r>
    <r>
      <rPr>
        <vertAlign val="subscript"/>
        <sz val="9"/>
        <rFont val="Verdana"/>
        <family val="2"/>
      </rPr>
      <t>ywk</t>
    </r>
  </si>
  <si>
    <r>
      <t>g</t>
    </r>
    <r>
      <rPr>
        <vertAlign val="subscript"/>
        <sz val="9"/>
        <rFont val="Verdana"/>
        <family val="2"/>
      </rPr>
      <t>s</t>
    </r>
  </si>
  <si>
    <r>
      <t>f</t>
    </r>
    <r>
      <rPr>
        <vertAlign val="subscript"/>
        <sz val="9"/>
        <rFont val="Verdana"/>
        <family val="2"/>
      </rPr>
      <t>ywd</t>
    </r>
  </si>
  <si>
    <t>a</t>
  </si>
  <si>
    <t>q</t>
  </si>
  <si>
    <r>
      <t>V</t>
    </r>
    <r>
      <rPr>
        <vertAlign val="subscript"/>
        <sz val="9"/>
        <rFont val="Verdana"/>
        <family val="2"/>
      </rPr>
      <t>Rd,c</t>
    </r>
  </si>
  <si>
    <r>
      <t>V</t>
    </r>
    <r>
      <rPr>
        <vertAlign val="subscript"/>
        <sz val="9"/>
        <rFont val="Verdana"/>
        <family val="2"/>
      </rPr>
      <t>Rd,max</t>
    </r>
  </si>
  <si>
    <r>
      <t>A</t>
    </r>
    <r>
      <rPr>
        <vertAlign val="subscript"/>
        <sz val="9"/>
        <rFont val="Verdana"/>
        <family val="2"/>
      </rPr>
      <t>sw</t>
    </r>
    <r>
      <rPr>
        <sz val="9"/>
        <rFont val="Verdana"/>
        <family val="2"/>
      </rPr>
      <t>/s</t>
    </r>
  </si>
  <si>
    <r>
      <t>(A</t>
    </r>
    <r>
      <rPr>
        <vertAlign val="subscript"/>
        <sz val="9"/>
        <rFont val="Verdana"/>
        <family val="2"/>
      </rPr>
      <t>sw</t>
    </r>
    <r>
      <rPr>
        <sz val="9"/>
        <rFont val="Verdana"/>
        <family val="2"/>
      </rPr>
      <t>/s)</t>
    </r>
    <r>
      <rPr>
        <vertAlign val="subscript"/>
        <sz val="9"/>
        <rFont val="Verdana"/>
        <family val="2"/>
      </rPr>
      <t>min</t>
    </r>
  </si>
  <si>
    <r>
      <rPr>
        <sz val="9"/>
        <rFont val="Calibri"/>
        <family val="2"/>
        <scheme val="minor"/>
      </rPr>
      <t>Cotg(</t>
    </r>
    <r>
      <rPr>
        <sz val="9"/>
        <rFont val="Symbol"/>
        <family val="1"/>
        <charset val="2"/>
      </rPr>
      <t>q)</t>
    </r>
  </si>
  <si>
    <t>Diamètre cadres</t>
  </si>
  <si>
    <t>Diamètre étriers</t>
  </si>
  <si>
    <t>Diamètre épingles</t>
  </si>
  <si>
    <t>Espacement</t>
  </si>
  <si>
    <r>
      <t>A</t>
    </r>
    <r>
      <rPr>
        <vertAlign val="subscript"/>
        <sz val="9"/>
        <rFont val="Verdana"/>
        <family val="2"/>
      </rPr>
      <t>sw</t>
    </r>
    <r>
      <rPr>
        <sz val="9"/>
        <rFont val="Verdana"/>
        <family val="2"/>
      </rPr>
      <t>/s</t>
    </r>
    <r>
      <rPr>
        <vertAlign val="subscript"/>
        <sz val="9"/>
        <rFont val="Verdana"/>
        <family val="2"/>
      </rPr>
      <t>réel</t>
    </r>
  </si>
  <si>
    <t>[m]</t>
  </si>
  <si>
    <t>[kN]</t>
  </si>
  <si>
    <t>[cm²]</t>
  </si>
  <si>
    <t>[MPa]</t>
  </si>
  <si>
    <t>[°]</t>
  </si>
  <si>
    <t>[cm²/ml]</t>
  </si>
  <si>
    <t>[mm]</t>
  </si>
  <si>
    <t>[cm]</t>
  </si>
  <si>
    <t>Pieux 1</t>
  </si>
  <si>
    <t>Pieux 2</t>
  </si>
  <si>
    <t>Pieux 3</t>
  </si>
  <si>
    <t>Pieux 4</t>
  </si>
  <si>
    <t xml:space="preserve">Afficher ligne </t>
  </si>
  <si>
    <t>Résultats Effort Tranchant circ.</t>
  </si>
  <si>
    <t>Géométrie de la section</t>
  </si>
  <si>
    <t>Unité</t>
  </si>
  <si>
    <t>B=</t>
  </si>
  <si>
    <t>m</t>
  </si>
  <si>
    <t>d=</t>
  </si>
  <si>
    <t>z=</t>
  </si>
  <si>
    <t>Sollicitations</t>
  </si>
  <si>
    <t>Ved=</t>
  </si>
  <si>
    <t>kN</t>
  </si>
  <si>
    <t>Ned=</t>
  </si>
  <si>
    <t>Matériaux</t>
  </si>
  <si>
    <r>
      <t>fck</t>
    </r>
    <r>
      <rPr>
        <vertAlign val="superscript"/>
        <sz val="11"/>
        <color theme="1"/>
        <rFont val="Calibri"/>
        <family val="2"/>
        <scheme val="minor"/>
      </rPr>
      <t>(*)</t>
    </r>
    <r>
      <rPr>
        <sz val="11"/>
        <color theme="1"/>
        <rFont val="Calibri"/>
        <family val="2"/>
        <scheme val="minor"/>
      </rPr>
      <t>=</t>
    </r>
  </si>
  <si>
    <t>MPa</t>
  </si>
  <si>
    <r>
      <rPr>
        <sz val="11"/>
        <color theme="1"/>
        <rFont val="Symbol"/>
        <family val="1"/>
        <charset val="2"/>
      </rPr>
      <t>g</t>
    </r>
    <r>
      <rPr>
        <sz val="11"/>
        <color theme="1"/>
        <rFont val="Calibri"/>
        <family val="2"/>
        <scheme val="minor"/>
      </rPr>
      <t>c=</t>
    </r>
  </si>
  <si>
    <r>
      <t>f</t>
    </r>
    <r>
      <rPr>
        <vertAlign val="subscript"/>
        <sz val="9"/>
        <rFont val="Verdana"/>
        <family val="2"/>
      </rPr>
      <t>cd</t>
    </r>
    <r>
      <rPr>
        <sz val="9"/>
        <rFont val="Verdana"/>
        <family val="2"/>
      </rPr>
      <t>=</t>
    </r>
  </si>
  <si>
    <t>fywk=</t>
  </si>
  <si>
    <r>
      <rPr>
        <sz val="11"/>
        <color theme="1"/>
        <rFont val="Symbol"/>
        <family val="1"/>
        <charset val="2"/>
      </rPr>
      <t>g</t>
    </r>
    <r>
      <rPr>
        <sz val="11"/>
        <color theme="1"/>
        <rFont val="Calibri"/>
        <family val="2"/>
        <scheme val="minor"/>
      </rPr>
      <t>s=</t>
    </r>
  </si>
  <si>
    <r>
      <t>f</t>
    </r>
    <r>
      <rPr>
        <vertAlign val="subscript"/>
        <sz val="9"/>
        <rFont val="Verdana"/>
        <family val="2"/>
      </rPr>
      <t>ywd</t>
    </r>
    <r>
      <rPr>
        <sz val="9"/>
        <rFont val="Verdana"/>
        <family val="2"/>
      </rPr>
      <t>=</t>
    </r>
  </si>
  <si>
    <t>Angle des aciers transversaux</t>
  </si>
  <si>
    <r>
      <t>a</t>
    </r>
    <r>
      <rPr>
        <sz val="9"/>
        <rFont val="Calibri"/>
        <family val="2"/>
        <scheme val="minor"/>
      </rPr>
      <t>=</t>
    </r>
  </si>
  <si>
    <t>°</t>
  </si>
  <si>
    <t>Angle de la bielle de béton</t>
  </si>
  <si>
    <r>
      <rPr>
        <sz val="9"/>
        <rFont val="Calibri"/>
        <family val="2"/>
        <scheme val="minor"/>
      </rPr>
      <t>Cotg(</t>
    </r>
    <r>
      <rPr>
        <sz val="9"/>
        <rFont val="Symbol"/>
        <family val="1"/>
        <charset val="2"/>
      </rPr>
      <t>q</t>
    </r>
    <r>
      <rPr>
        <sz val="9"/>
        <rFont val="Calibri"/>
        <family val="2"/>
        <scheme val="minor"/>
      </rPr>
      <t>)=</t>
    </r>
  </si>
  <si>
    <t>Efforts tranchants résistants</t>
  </si>
  <si>
    <t>Vrd,c=</t>
  </si>
  <si>
    <t>Vrd,max=</t>
  </si>
  <si>
    <t>Section d'acier</t>
  </si>
  <si>
    <r>
      <t>A</t>
    </r>
    <r>
      <rPr>
        <vertAlign val="subscript"/>
        <sz val="9"/>
        <rFont val="Verdana"/>
        <family val="2"/>
      </rPr>
      <t>sw</t>
    </r>
    <r>
      <rPr>
        <sz val="9"/>
        <rFont val="Verdana"/>
        <family val="2"/>
      </rPr>
      <t>/s=</t>
    </r>
  </si>
  <si>
    <t>cm²</t>
  </si>
  <si>
    <r>
      <t>(A</t>
    </r>
    <r>
      <rPr>
        <vertAlign val="subscript"/>
        <sz val="9"/>
        <rFont val="Verdana"/>
        <family val="2"/>
      </rPr>
      <t>sw</t>
    </r>
    <r>
      <rPr>
        <sz val="9"/>
        <rFont val="Verdana"/>
        <family val="2"/>
      </rPr>
      <t>/s)</t>
    </r>
    <r>
      <rPr>
        <vertAlign val="subscript"/>
        <sz val="9"/>
        <rFont val="Verdana"/>
        <family val="2"/>
      </rPr>
      <t>min</t>
    </r>
    <r>
      <rPr>
        <sz val="9"/>
        <rFont val="Verdana"/>
        <family val="2"/>
      </rPr>
      <t>=</t>
    </r>
  </si>
  <si>
    <t>[1]</t>
  </si>
  <si>
    <t>[2]</t>
  </si>
  <si>
    <t>Pieux forés et barrettes</t>
  </si>
  <si>
    <t>Pieux forés et barrettes dont le rapport de la plus petite dimension B à la longueur est inférieur à 1/20</t>
  </si>
  <si>
    <t>Pieux tarière creuse avec enregistrement des paramètres</t>
  </si>
  <si>
    <t>Pieux forés et barrettes dont la plus petite dimension B est inférieure à 0,6m</t>
  </si>
  <si>
    <t>Pieux vissés moulés</t>
  </si>
  <si>
    <t>Pieux forés et barrettes réunissant les conditions 1 et 2 ci-dessus</t>
  </si>
  <si>
    <t>Pieux battus moulés</t>
  </si>
  <si>
    <t>Tous les autres cas</t>
  </si>
  <si>
    <r>
      <t>Calcul f</t>
    </r>
    <r>
      <rPr>
        <b/>
        <vertAlign val="subscript"/>
        <sz val="9"/>
        <rFont val="Verdana"/>
        <family val="2"/>
      </rPr>
      <t>ck</t>
    </r>
    <r>
      <rPr>
        <b/>
        <sz val="9"/>
        <rFont val="Verdana"/>
        <family val="2"/>
      </rPr>
      <t>*</t>
    </r>
  </si>
  <si>
    <t>Situation de l'ouvrage</t>
  </si>
  <si>
    <r>
      <t>f</t>
    </r>
    <r>
      <rPr>
        <vertAlign val="subscript"/>
        <sz val="9"/>
        <rFont val="Verdana"/>
        <family val="2"/>
      </rPr>
      <t>ck</t>
    </r>
  </si>
  <si>
    <r>
      <t>f</t>
    </r>
    <r>
      <rPr>
        <vertAlign val="subscript"/>
        <sz val="9"/>
        <rFont val="Verdana"/>
        <family val="2"/>
      </rPr>
      <t>ck</t>
    </r>
    <r>
      <rPr>
        <sz val="9"/>
        <rFont val="Verdana"/>
        <family val="2"/>
      </rPr>
      <t>(t)</t>
    </r>
  </si>
  <si>
    <r>
      <t>C</t>
    </r>
    <r>
      <rPr>
        <vertAlign val="subscript"/>
        <sz val="9"/>
        <rFont val="Verdana"/>
        <family val="2"/>
      </rPr>
      <t>max</t>
    </r>
  </si>
  <si>
    <t>k1</t>
  </si>
  <si>
    <t>k2</t>
  </si>
  <si>
    <t>k3</t>
  </si>
  <si>
    <r>
      <t>a</t>
    </r>
    <r>
      <rPr>
        <vertAlign val="subscript"/>
        <sz val="9"/>
        <rFont val="Calibri"/>
        <family val="2"/>
        <scheme val="minor"/>
      </rPr>
      <t>cc</t>
    </r>
  </si>
  <si>
    <r>
      <t>f</t>
    </r>
    <r>
      <rPr>
        <vertAlign val="subscript"/>
        <sz val="9"/>
        <rFont val="Verdana"/>
        <family val="2"/>
      </rPr>
      <t>ck</t>
    </r>
    <r>
      <rPr>
        <sz val="9"/>
        <rFont val="Verdana"/>
        <family val="2"/>
      </rPr>
      <t>*</t>
    </r>
  </si>
  <si>
    <t>[Mpa]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</si>
</sst>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0\ _€_-;\-* #,##0.0\ _€_-;_-* &quot;-&quot;??\ _€_-;_-@_-"/>
    <numFmt numFmtId="166" formatCode="_-* #,##0.00\ _€_-;\-* #,##0.00\ _€_-;_-* &quot;-&quot;??\ _€_-;_-@_-"/>
    <numFmt numFmtId="167" formatCode="0.000"/>
  </numFmts>
  <fonts count="31">
    <font>
      <sz val="11"/>
      <color theme="1"/>
      <name val="Calibri"/>
      <family val="2"/>
      <scheme val="minor"/>
    </font>
    <font>
      <sz val="11"/>
      <color theme="1"/>
      <name val="Calibri"/>
      <family val="2"/>
      <scheme val="minor"/>
    </font>
    <font>
      <sz val="10"/>
      <name val="Arial"/>
      <family val="2"/>
    </font>
    <font>
      <sz val="9"/>
      <name val="Verdana"/>
      <family val="2"/>
    </font>
    <font>
      <vertAlign val="subscript"/>
      <sz val="9"/>
      <name val="Verdana"/>
      <family val="2"/>
    </font>
    <font>
      <sz val="9"/>
      <name val="Symbol"/>
      <family val="1"/>
      <charset val="2"/>
    </font>
    <font>
      <sz val="8"/>
      <name val="Verdana"/>
      <family val="2"/>
    </font>
    <font>
      <sz val="9"/>
      <color rgb="FFFF0000"/>
      <name val="Verdana"/>
      <family val="2"/>
    </font>
    <font>
      <b/>
      <sz val="9"/>
      <name val="Verdana"/>
      <family val="2"/>
    </font>
    <font>
      <sz val="11"/>
      <color rgb="FFFF0000"/>
      <name val="Calibri"/>
      <family val="2"/>
      <scheme val="minor"/>
    </font>
    <font>
      <b/>
      <sz val="11"/>
      <color theme="1"/>
      <name val="Calibri"/>
      <family val="2"/>
      <scheme val="minor"/>
    </font>
    <font>
      <b/>
      <u/>
      <sz val="18"/>
      <color theme="1"/>
      <name val="Calibri"/>
      <family val="2"/>
      <scheme val="minor"/>
    </font>
    <font>
      <b/>
      <i/>
      <u/>
      <sz val="12"/>
      <color theme="1"/>
      <name val="Calibri"/>
      <family val="2"/>
      <scheme val="minor"/>
    </font>
    <font>
      <sz val="11"/>
      <color theme="4"/>
      <name val="Calibri"/>
      <family val="2"/>
      <scheme val="minor"/>
    </font>
    <font>
      <sz val="9"/>
      <name val="Verdana"/>
      <family val="1"/>
      <charset val="2"/>
    </font>
    <font>
      <sz val="9"/>
      <name val="Calibri"/>
      <family val="2"/>
      <scheme val="minor"/>
    </font>
    <font>
      <sz val="11"/>
      <color theme="1"/>
      <name val="Symbol"/>
      <family val="1"/>
      <charset val="2"/>
    </font>
    <font>
      <sz val="11"/>
      <color theme="1"/>
      <name val="Calibri"/>
      <family val="1"/>
      <charset val="2"/>
      <scheme val="minor"/>
    </font>
    <font>
      <b/>
      <i/>
      <sz val="11"/>
      <color theme="1"/>
      <name val="Calibri"/>
      <family val="2"/>
      <scheme val="minor"/>
    </font>
    <font>
      <vertAlign val="subscript"/>
      <sz val="9"/>
      <name val="Calibri"/>
      <family val="2"/>
      <scheme val="minor"/>
    </font>
    <font>
      <sz val="8"/>
      <name val="Calibri"/>
      <family val="2"/>
      <scheme val="minor"/>
    </font>
    <font>
      <sz val="8"/>
      <color rgb="FFFF0000"/>
      <name val="Verdana"/>
      <family val="2"/>
    </font>
    <font>
      <b/>
      <vertAlign val="subscript"/>
      <sz val="9"/>
      <name val="Verdana"/>
      <family val="2"/>
    </font>
    <font>
      <sz val="9"/>
      <color theme="4"/>
      <name val="Verdana"/>
      <family val="2"/>
    </font>
    <font>
      <vertAlign val="superscript"/>
      <sz val="9"/>
      <name val="Verdana"/>
      <family val="2"/>
    </font>
    <font>
      <vertAlign val="subscript"/>
      <sz val="11"/>
      <color theme="1"/>
      <name val="Calibri"/>
      <family val="2"/>
      <scheme val="minor"/>
    </font>
    <font>
      <sz val="11"/>
      <color theme="5" tint="-0.249977111117893"/>
      <name val="Calibri"/>
      <family val="2"/>
      <scheme val="minor"/>
    </font>
    <font>
      <sz val="9"/>
      <name val="Symbol"/>
      <family val="2"/>
      <charset val="2"/>
    </font>
    <font>
      <vertAlign val="superscript"/>
      <sz val="11"/>
      <color theme="1"/>
      <name val="Calibri"/>
      <family val="2"/>
      <scheme val="minor"/>
    </font>
    <font>
      <sz val="9"/>
      <color indexed="81"/>
      <name val="Tahoma"/>
      <charset val="1"/>
    </font>
    <font>
      <b/>
      <sz val="9"/>
      <color indexed="81"/>
      <name val="Tahoma"/>
      <charset val="1"/>
    </font>
  </fonts>
  <fills count="3">
    <fill>
      <patternFill patternType="none"/>
    </fill>
    <fill>
      <patternFill patternType="gray125"/>
    </fill>
    <fill>
      <patternFill patternType="solid">
        <fgColor theme="4" tint="0.79998168889431442"/>
        <bgColor indexed="64"/>
      </patternFill>
    </fill>
  </fills>
  <borders count="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2" fillId="0" borderId="0"/>
  </cellStyleXfs>
  <cellXfs count="56">
    <xf numFmtId="0" fontId="0" fillId="0" borderId="0" xfId="0"/>
    <xf numFmtId="0" fontId="3" fillId="0" borderId="2" xfId="2" applyFont="1" applyBorder="1" applyAlignment="1">
      <alignment horizontal="center" vertical="center"/>
    </xf>
    <xf numFmtId="0" fontId="5" fillId="0" borderId="2" xfId="2" applyFont="1" applyBorder="1" applyAlignment="1">
      <alignment horizontal="center" vertical="center"/>
    </xf>
    <xf numFmtId="0" fontId="3" fillId="0" borderId="2" xfId="2" applyFont="1" applyBorder="1" applyAlignment="1">
      <alignment horizontal="center" vertical="center" wrapText="1"/>
    </xf>
    <xf numFmtId="0" fontId="6" fillId="0" borderId="2" xfId="2" applyFont="1" applyBorder="1" applyAlignment="1">
      <alignment horizontal="center"/>
    </xf>
    <xf numFmtId="0" fontId="3" fillId="0" borderId="2" xfId="2" applyFont="1" applyBorder="1" applyAlignment="1">
      <alignment horizontal="center"/>
    </xf>
    <xf numFmtId="2" fontId="3" fillId="0" borderId="2" xfId="2" applyNumberFormat="1" applyFont="1" applyBorder="1" applyAlignment="1">
      <alignment horizontal="center"/>
    </xf>
    <xf numFmtId="0" fontId="7" fillId="0" borderId="2" xfId="2" applyFont="1" applyBorder="1" applyAlignment="1">
      <alignment horizontal="center"/>
    </xf>
    <xf numFmtId="164" fontId="3" fillId="0" borderId="2" xfId="2" applyNumberFormat="1" applyFont="1" applyBorder="1" applyAlignment="1">
      <alignment horizontal="center"/>
    </xf>
    <xf numFmtId="1" fontId="7" fillId="0" borderId="2" xfId="2" applyNumberFormat="1" applyFont="1" applyBorder="1" applyAlignment="1">
      <alignment horizontal="center"/>
    </xf>
    <xf numFmtId="165" fontId="3" fillId="0" borderId="2" xfId="1" applyNumberFormat="1" applyFont="1" applyFill="1" applyBorder="1" applyAlignment="1">
      <alignment horizontal="center"/>
    </xf>
    <xf numFmtId="0" fontId="7" fillId="0" borderId="0" xfId="2" applyFont="1" applyAlignment="1">
      <alignment horizontal="center"/>
    </xf>
    <xf numFmtId="164" fontId="7" fillId="0" borderId="2" xfId="2" applyNumberFormat="1" applyFont="1" applyBorder="1" applyAlignment="1">
      <alignment horizontal="center"/>
    </xf>
    <xf numFmtId="166" fontId="3" fillId="0" borderId="2" xfId="1" applyNumberFormat="1" applyFont="1" applyFill="1" applyBorder="1" applyAlignment="1">
      <alignment horizontal="center"/>
    </xf>
    <xf numFmtId="2" fontId="7" fillId="0" borderId="2" xfId="2" applyNumberFormat="1" applyFont="1" applyBorder="1" applyAlignment="1">
      <alignment horizontal="center"/>
    </xf>
    <xf numFmtId="0" fontId="9" fillId="0" borderId="0" xfId="0" applyFont="1" applyAlignment="1">
      <alignment horizontal="center"/>
    </xf>
    <xf numFmtId="0" fontId="12" fillId="2" borderId="0" xfId="0" applyFont="1" applyFill="1"/>
    <xf numFmtId="0" fontId="0" fillId="2" borderId="0" xfId="0" applyFill="1"/>
    <xf numFmtId="0" fontId="12" fillId="2" borderId="0" xfId="0" applyFont="1" applyFill="1" applyAlignment="1">
      <alignment horizontal="center"/>
    </xf>
    <xf numFmtId="0" fontId="0" fillId="0" borderId="0" xfId="0" applyAlignment="1">
      <alignment horizontal="right"/>
    </xf>
    <xf numFmtId="0" fontId="13" fillId="0" borderId="0" xfId="0" applyFont="1"/>
    <xf numFmtId="0" fontId="0" fillId="0" borderId="0" xfId="0" applyAlignment="1">
      <alignment horizontal="center"/>
    </xf>
    <xf numFmtId="0" fontId="0" fillId="2" borderId="0" xfId="0" applyFill="1" applyAlignment="1">
      <alignment horizontal="right"/>
    </xf>
    <xf numFmtId="0" fontId="0" fillId="2" borderId="0" xfId="0" applyFill="1" applyAlignment="1">
      <alignment horizontal="center"/>
    </xf>
    <xf numFmtId="0" fontId="14" fillId="0" borderId="0" xfId="2" applyFont="1" applyAlignment="1">
      <alignment horizontal="right" vertical="center"/>
    </xf>
    <xf numFmtId="0" fontId="5" fillId="0" borderId="0" xfId="2" applyFont="1" applyAlignment="1">
      <alignment horizontal="right" vertical="center"/>
    </xf>
    <xf numFmtId="0" fontId="17" fillId="0" borderId="0" xfId="0" applyFont="1" applyAlignment="1">
      <alignment horizontal="right"/>
    </xf>
    <xf numFmtId="0" fontId="3" fillId="0" borderId="0" xfId="2" applyFont="1" applyAlignment="1">
      <alignment horizontal="right" vertical="center"/>
    </xf>
    <xf numFmtId="0" fontId="12" fillId="0" borderId="0" xfId="0" applyFont="1"/>
    <xf numFmtId="2" fontId="13" fillId="0" borderId="0" xfId="0" applyNumberFormat="1" applyFont="1"/>
    <xf numFmtId="0" fontId="10" fillId="0" borderId="0" xfId="0" applyFont="1"/>
    <xf numFmtId="0" fontId="18" fillId="0" borderId="0" xfId="0" applyFont="1"/>
    <xf numFmtId="0" fontId="3" fillId="0" borderId="1" xfId="2" applyFont="1" applyBorder="1" applyAlignment="1">
      <alignment horizontal="center" vertical="center"/>
    </xf>
    <xf numFmtId="0" fontId="3" fillId="0" borderId="0" xfId="2" applyFont="1" applyAlignment="1">
      <alignment horizontal="center"/>
    </xf>
    <xf numFmtId="0" fontId="0" fillId="0" borderId="0" xfId="0" applyAlignment="1">
      <alignment vertical="center"/>
    </xf>
    <xf numFmtId="0" fontId="21" fillId="0" borderId="3" xfId="2" applyFont="1" applyBorder="1" applyAlignment="1">
      <alignment horizontal="center"/>
    </xf>
    <xf numFmtId="0" fontId="3" fillId="0" borderId="5" xfId="2" applyFont="1" applyBorder="1" applyAlignment="1">
      <alignment horizontal="center" vertical="center"/>
    </xf>
    <xf numFmtId="0" fontId="6" fillId="0" borderId="5" xfId="2" applyFont="1" applyBorder="1" applyAlignment="1">
      <alignment horizontal="center"/>
    </xf>
    <xf numFmtId="0" fontId="7" fillId="0" borderId="3" xfId="2" applyFont="1" applyBorder="1" applyAlignment="1">
      <alignment horizontal="center"/>
    </xf>
    <xf numFmtId="2" fontId="23" fillId="0" borderId="2" xfId="2" applyNumberFormat="1" applyFont="1" applyBorder="1" applyAlignment="1">
      <alignment horizontal="center"/>
    </xf>
    <xf numFmtId="0" fontId="7" fillId="0" borderId="5" xfId="2" applyFont="1" applyBorder="1" applyAlignment="1">
      <alignment horizontal="center"/>
    </xf>
    <xf numFmtId="0" fontId="26" fillId="0" borderId="0" xfId="0" applyFont="1"/>
    <xf numFmtId="0" fontId="11" fillId="0" borderId="0" xfId="0" applyFont="1"/>
    <xf numFmtId="0" fontId="12" fillId="0" borderId="0" xfId="0" applyFont="1" applyAlignment="1">
      <alignment horizontal="center"/>
    </xf>
    <xf numFmtId="0" fontId="0" fillId="0" borderId="0" xfId="0" applyAlignment="1">
      <alignment horizontal="center" vertical="center"/>
    </xf>
    <xf numFmtId="167" fontId="13" fillId="0" borderId="0" xfId="0" applyNumberFormat="1" applyFont="1"/>
    <xf numFmtId="0" fontId="8" fillId="0" borderId="2" xfId="2" applyFont="1" applyBorder="1" applyAlignment="1">
      <alignment horizontal="center" vertical="center"/>
    </xf>
    <xf numFmtId="0" fontId="5" fillId="0" borderId="1" xfId="2" applyFont="1" applyBorder="1" applyAlignment="1">
      <alignment horizontal="center" vertical="center"/>
    </xf>
    <xf numFmtId="0" fontId="5" fillId="0" borderId="3" xfId="2" applyFont="1" applyBorder="1" applyAlignment="1">
      <alignment horizontal="center" vertical="center"/>
    </xf>
    <xf numFmtId="0" fontId="27" fillId="0" borderId="1" xfId="2" applyFont="1" applyBorder="1" applyAlignment="1">
      <alignment horizontal="center" vertical="center"/>
    </xf>
    <xf numFmtId="0" fontId="27" fillId="0" borderId="3" xfId="2" applyFont="1" applyBorder="1" applyAlignment="1">
      <alignment horizontal="center" vertical="center"/>
    </xf>
    <xf numFmtId="0" fontId="11" fillId="0" borderId="0" xfId="0" applyFont="1" applyAlignment="1">
      <alignment horizontal="center"/>
    </xf>
    <xf numFmtId="0" fontId="3" fillId="0" borderId="1" xfId="2" applyFont="1" applyBorder="1" applyAlignment="1">
      <alignment horizontal="center" vertical="center"/>
    </xf>
    <xf numFmtId="0" fontId="3" fillId="0" borderId="3" xfId="2" applyFont="1" applyBorder="1" applyAlignment="1">
      <alignment horizontal="center" vertical="center"/>
    </xf>
    <xf numFmtId="0" fontId="8" fillId="0" borderId="4" xfId="2" applyFont="1" applyBorder="1" applyAlignment="1">
      <alignment horizontal="center" vertical="center"/>
    </xf>
    <xf numFmtId="0" fontId="3" fillId="0" borderId="2" xfId="2" applyFont="1" applyBorder="1" applyAlignment="1">
      <alignment horizontal="center" vertical="center" wrapText="1"/>
    </xf>
  </cellXfs>
  <cellStyles count="3">
    <cellStyle name="Milliers" xfId="1" builtinId="3"/>
    <cellStyle name="Normal" xfId="0" builtinId="0"/>
    <cellStyle name="Normal 2" xfId="2" xr:uid="{D9E40EA4-238F-4986-9E08-A00B355CE9A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14</xdr:col>
      <xdr:colOff>358141</xdr:colOff>
      <xdr:row>12</xdr:row>
      <xdr:rowOff>136362</xdr:rowOff>
    </xdr:from>
    <xdr:to>
      <xdr:col>17</xdr:col>
      <xdr:colOff>502921</xdr:colOff>
      <xdr:row>14</xdr:row>
      <xdr:rowOff>89474</xdr:rowOff>
    </xdr:to>
    <xdr:pic>
      <xdr:nvPicPr>
        <xdr:cNvPr id="2" name="Image 1">
          <a:extLst>
            <a:ext uri="{FF2B5EF4-FFF2-40B4-BE49-F238E27FC236}">
              <a16:creationId xmlns:a16="http://schemas.microsoft.com/office/drawing/2014/main" id="{C6C4D25F-FF4C-9F39-A539-FA9C33954478}"/>
            </a:ext>
          </a:extLst>
        </xdr:cNvPr>
        <xdr:cNvPicPr>
          <a:picLocks noChangeAspect="1"/>
        </xdr:cNvPicPr>
      </xdr:nvPicPr>
      <xdr:blipFill>
        <a:blip xmlns:r="http://schemas.openxmlformats.org/officeDocument/2006/relationships" r:embed="rId1"/>
        <a:stretch>
          <a:fillRect/>
        </a:stretch>
      </xdr:blipFill>
      <xdr:spPr>
        <a:xfrm>
          <a:off x="11452861" y="2148042"/>
          <a:ext cx="2522220" cy="334112"/>
        </a:xfrm>
        <a:prstGeom prst="rect">
          <a:avLst/>
        </a:prstGeom>
      </xdr:spPr>
    </xdr:pic>
    <xdr:clientData/>
  </xdr:twoCellAnchor>
  <xdr:twoCellAnchor editAs="oneCell">
    <xdr:from>
      <xdr:col>3</xdr:col>
      <xdr:colOff>30480</xdr:colOff>
      <xdr:row>18</xdr:row>
      <xdr:rowOff>18056</xdr:rowOff>
    </xdr:from>
    <xdr:to>
      <xdr:col>10</xdr:col>
      <xdr:colOff>205740</xdr:colOff>
      <xdr:row>33</xdr:row>
      <xdr:rowOff>122788</xdr:rowOff>
    </xdr:to>
    <xdr:pic>
      <xdr:nvPicPr>
        <xdr:cNvPr id="3" name="Image 2">
          <a:extLst>
            <a:ext uri="{FF2B5EF4-FFF2-40B4-BE49-F238E27FC236}">
              <a16:creationId xmlns:a16="http://schemas.microsoft.com/office/drawing/2014/main" id="{F3EF4C40-DD5E-4792-8507-59E7A67A994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07920" y="3340376"/>
          <a:ext cx="5722620" cy="28479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272143</xdr:colOff>
      <xdr:row>4</xdr:row>
      <xdr:rowOff>136072</xdr:rowOff>
    </xdr:from>
    <xdr:to>
      <xdr:col>9</xdr:col>
      <xdr:colOff>758295</xdr:colOff>
      <xdr:row>8</xdr:row>
      <xdr:rowOff>136608</xdr:rowOff>
    </xdr:to>
    <xdr:pic>
      <xdr:nvPicPr>
        <xdr:cNvPr id="5" name="Image 4">
          <a:extLst>
            <a:ext uri="{FF2B5EF4-FFF2-40B4-BE49-F238E27FC236}">
              <a16:creationId xmlns:a16="http://schemas.microsoft.com/office/drawing/2014/main" id="{3684060D-C02C-4CDC-A408-5D6BC41386C7}"/>
            </a:ext>
          </a:extLst>
        </xdr:cNvPr>
        <xdr:cNvPicPr>
          <a:picLocks noChangeAspect="1"/>
        </xdr:cNvPicPr>
      </xdr:nvPicPr>
      <xdr:blipFill>
        <a:blip xmlns:r="http://schemas.openxmlformats.org/officeDocument/2006/relationships" r:embed="rId1"/>
        <a:stretch>
          <a:fillRect/>
        </a:stretch>
      </xdr:blipFill>
      <xdr:spPr>
        <a:xfrm>
          <a:off x="272143" y="843643"/>
          <a:ext cx="7798791" cy="700488"/>
        </a:xfrm>
        <a:prstGeom prst="rect">
          <a:avLst/>
        </a:prstGeom>
      </xdr:spPr>
    </xdr:pic>
    <xdr:clientData/>
  </xdr:twoCellAnchor>
  <xdr:twoCellAnchor>
    <xdr:from>
      <xdr:col>4</xdr:col>
      <xdr:colOff>390525</xdr:colOff>
      <xdr:row>8</xdr:row>
      <xdr:rowOff>162076</xdr:rowOff>
    </xdr:from>
    <xdr:to>
      <xdr:col>4</xdr:col>
      <xdr:colOff>396656</xdr:colOff>
      <xdr:row>12</xdr:row>
      <xdr:rowOff>161925</xdr:rowOff>
    </xdr:to>
    <xdr:cxnSp macro="">
      <xdr:nvCxnSpPr>
        <xdr:cNvPr id="6" name="Connecteur droit avec flèche 5">
          <a:extLst>
            <a:ext uri="{FF2B5EF4-FFF2-40B4-BE49-F238E27FC236}">
              <a16:creationId xmlns:a16="http://schemas.microsoft.com/office/drawing/2014/main" id="{5EF05333-2A18-4E2D-AA0F-7845D5F71D8B}"/>
            </a:ext>
          </a:extLst>
        </xdr:cNvPr>
        <xdr:cNvCxnSpPr/>
      </xdr:nvCxnSpPr>
      <xdr:spPr>
        <a:xfrm flipV="1">
          <a:off x="3638550" y="1609876"/>
          <a:ext cx="6131" cy="723749"/>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326027</xdr:colOff>
      <xdr:row>4</xdr:row>
      <xdr:rowOff>152401</xdr:rowOff>
    </xdr:from>
    <xdr:to>
      <xdr:col>9</xdr:col>
      <xdr:colOff>708429</xdr:colOff>
      <xdr:row>8</xdr:row>
      <xdr:rowOff>135712</xdr:rowOff>
    </xdr:to>
    <xdr:pic>
      <xdr:nvPicPr>
        <xdr:cNvPr id="6" name="Image 5">
          <a:extLst>
            <a:ext uri="{FF2B5EF4-FFF2-40B4-BE49-F238E27FC236}">
              <a16:creationId xmlns:a16="http://schemas.microsoft.com/office/drawing/2014/main" id="{929E6122-E0D0-2589-5AB5-C766FF9DDF50}"/>
            </a:ext>
          </a:extLst>
        </xdr:cNvPr>
        <xdr:cNvPicPr>
          <a:picLocks noChangeAspect="1"/>
        </xdr:cNvPicPr>
      </xdr:nvPicPr>
      <xdr:blipFill>
        <a:blip xmlns:r="http://schemas.openxmlformats.org/officeDocument/2006/relationships" r:embed="rId1"/>
        <a:stretch>
          <a:fillRect/>
        </a:stretch>
      </xdr:blipFill>
      <xdr:spPr>
        <a:xfrm>
          <a:off x="326027" y="859972"/>
          <a:ext cx="7732244" cy="698503"/>
        </a:xfrm>
        <a:prstGeom prst="rect">
          <a:avLst/>
        </a:prstGeom>
      </xdr:spPr>
    </xdr:pic>
    <xdr:clientData/>
  </xdr:twoCellAnchor>
  <xdr:twoCellAnchor>
    <xdr:from>
      <xdr:col>4</xdr:col>
      <xdr:colOff>414130</xdr:colOff>
      <xdr:row>8</xdr:row>
      <xdr:rowOff>157370</xdr:rowOff>
    </xdr:from>
    <xdr:to>
      <xdr:col>4</xdr:col>
      <xdr:colOff>422413</xdr:colOff>
      <xdr:row>12</xdr:row>
      <xdr:rowOff>165652</xdr:rowOff>
    </xdr:to>
    <xdr:cxnSp macro="">
      <xdr:nvCxnSpPr>
        <xdr:cNvPr id="10" name="Connecteur droit avec flèche 9">
          <a:extLst>
            <a:ext uri="{FF2B5EF4-FFF2-40B4-BE49-F238E27FC236}">
              <a16:creationId xmlns:a16="http://schemas.microsoft.com/office/drawing/2014/main" id="{2408AE02-79C3-1C03-5622-6EFA247968FB}"/>
            </a:ext>
          </a:extLst>
        </xdr:cNvPr>
        <xdr:cNvCxnSpPr/>
      </xdr:nvCxnSpPr>
      <xdr:spPr>
        <a:xfrm flipV="1">
          <a:off x="3652630" y="1615109"/>
          <a:ext cx="8283" cy="73715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242686</xdr:colOff>
      <xdr:row>14</xdr:row>
      <xdr:rowOff>54430</xdr:rowOff>
    </xdr:from>
    <xdr:to>
      <xdr:col>8</xdr:col>
      <xdr:colOff>736490</xdr:colOff>
      <xdr:row>29</xdr:row>
      <xdr:rowOff>26039</xdr:rowOff>
    </xdr:to>
    <xdr:pic>
      <xdr:nvPicPr>
        <xdr:cNvPr id="4" name="Image 3">
          <a:extLst>
            <a:ext uri="{FF2B5EF4-FFF2-40B4-BE49-F238E27FC236}">
              <a16:creationId xmlns:a16="http://schemas.microsoft.com/office/drawing/2014/main" id="{C3E42E27-E025-4B40-A695-B9A4C2380D03}"/>
            </a:ext>
          </a:extLst>
        </xdr:cNvPr>
        <xdr:cNvPicPr>
          <a:picLocks noChangeAspect="1"/>
        </xdr:cNvPicPr>
      </xdr:nvPicPr>
      <xdr:blipFill>
        <a:blip xmlns:r="http://schemas.openxmlformats.org/officeDocument/2006/relationships" r:embed="rId1"/>
        <a:stretch>
          <a:fillRect/>
        </a:stretch>
      </xdr:blipFill>
      <xdr:spPr>
        <a:xfrm>
          <a:off x="1037343" y="2754087"/>
          <a:ext cx="6056404" cy="2747466"/>
        </a:xfrm>
        <a:prstGeom prst="rect">
          <a:avLst/>
        </a:prstGeom>
      </xdr:spPr>
    </xdr:pic>
    <xdr:clientData/>
  </xdr:twoCellAnchor>
  <xdr:twoCellAnchor editAs="oneCell">
    <xdr:from>
      <xdr:col>9</xdr:col>
      <xdr:colOff>108858</xdr:colOff>
      <xdr:row>16</xdr:row>
      <xdr:rowOff>95529</xdr:rowOff>
    </xdr:from>
    <xdr:to>
      <xdr:col>17</xdr:col>
      <xdr:colOff>295836</xdr:colOff>
      <xdr:row>28</xdr:row>
      <xdr:rowOff>2327</xdr:rowOff>
    </xdr:to>
    <xdr:pic>
      <xdr:nvPicPr>
        <xdr:cNvPr id="5" name="Image 4">
          <a:extLst>
            <a:ext uri="{FF2B5EF4-FFF2-40B4-BE49-F238E27FC236}">
              <a16:creationId xmlns:a16="http://schemas.microsoft.com/office/drawing/2014/main" id="{502EAFE4-F826-4E97-930E-41E41F0673C3}"/>
            </a:ext>
          </a:extLst>
        </xdr:cNvPr>
        <xdr:cNvPicPr>
          <a:picLocks noChangeAspect="1"/>
        </xdr:cNvPicPr>
      </xdr:nvPicPr>
      <xdr:blipFill>
        <a:blip xmlns:r="http://schemas.openxmlformats.org/officeDocument/2006/relationships" r:embed="rId2"/>
        <a:stretch>
          <a:fillRect/>
        </a:stretch>
      </xdr:blipFill>
      <xdr:spPr>
        <a:xfrm>
          <a:off x="7260772" y="3056443"/>
          <a:ext cx="6544235" cy="2127484"/>
        </a:xfrm>
        <a:prstGeom prst="rect">
          <a:avLst/>
        </a:prstGeom>
      </xdr:spPr>
    </xdr:pic>
    <xdr:clientData/>
  </xdr:twoCellAnchor>
  <xdr:twoCellAnchor editAs="oneCell">
    <xdr:from>
      <xdr:col>17</xdr:col>
      <xdr:colOff>560294</xdr:colOff>
      <xdr:row>15</xdr:row>
      <xdr:rowOff>143839</xdr:rowOff>
    </xdr:from>
    <xdr:to>
      <xdr:col>26</xdr:col>
      <xdr:colOff>24331</xdr:colOff>
      <xdr:row>29</xdr:row>
      <xdr:rowOff>34021</xdr:rowOff>
    </xdr:to>
    <xdr:pic>
      <xdr:nvPicPr>
        <xdr:cNvPr id="6" name="Image 5">
          <a:extLst>
            <a:ext uri="{FF2B5EF4-FFF2-40B4-BE49-F238E27FC236}">
              <a16:creationId xmlns:a16="http://schemas.microsoft.com/office/drawing/2014/main" id="{9505F931-AC63-41A4-94F5-202C44D0D0D7}"/>
            </a:ext>
          </a:extLst>
        </xdr:cNvPr>
        <xdr:cNvPicPr>
          <a:picLocks noChangeAspect="1"/>
        </xdr:cNvPicPr>
      </xdr:nvPicPr>
      <xdr:blipFill>
        <a:blip xmlns:r="http://schemas.openxmlformats.org/officeDocument/2006/relationships" r:embed="rId3"/>
        <a:stretch>
          <a:fillRect/>
        </a:stretch>
      </xdr:blipFill>
      <xdr:spPr>
        <a:xfrm>
          <a:off x="14069465" y="2919696"/>
          <a:ext cx="6615952" cy="248098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62BF-1B0C-4EA1-98BB-2F0DA95210F0}">
  <sheetPr codeName="Feuil2"/>
  <dimension ref="A1:B45"/>
  <sheetViews>
    <sheetView tabSelected="1" topLeftCell="A5" zoomScale="85" zoomScaleNormal="85" workbookViewId="0">
      <selection activeCell="O17" sqref="O17"/>
    </sheetView>
  </sheetViews>
  <sheetFormatPr defaultColWidth="11.42578125" defaultRowHeight="14.45"/>
  <sheetData>
    <row r="1" spans="1:2">
      <c r="A1" s="30" t="s">
        <v>0</v>
      </c>
    </row>
    <row r="2" spans="1:2">
      <c r="A2" t="s">
        <v>1</v>
      </c>
      <c r="B2" t="s">
        <v>2</v>
      </c>
    </row>
    <row r="4" spans="1:2">
      <c r="A4" t="s">
        <v>3</v>
      </c>
    </row>
    <row r="5" spans="1:2">
      <c r="A5" s="31" t="s">
        <v>4</v>
      </c>
      <c r="B5" t="s">
        <v>0</v>
      </c>
    </row>
    <row r="6" spans="1:2">
      <c r="A6" s="31" t="s">
        <v>5</v>
      </c>
      <c r="B6" t="s">
        <v>6</v>
      </c>
    </row>
    <row r="7" spans="1:2">
      <c r="A7" s="31" t="s">
        <v>7</v>
      </c>
      <c r="B7" t="s">
        <v>8</v>
      </c>
    </row>
    <row r="8" spans="1:2" ht="15.6">
      <c r="A8" s="31" t="s">
        <v>9</v>
      </c>
      <c r="B8" t="s">
        <v>10</v>
      </c>
    </row>
    <row r="9" spans="1:2">
      <c r="A9" s="31"/>
    </row>
    <row r="10" spans="1:2">
      <c r="A10" s="31"/>
    </row>
    <row r="11" spans="1:2">
      <c r="A11" s="30" t="s">
        <v>11</v>
      </c>
    </row>
    <row r="12" spans="1:2">
      <c r="A12" t="s">
        <v>12</v>
      </c>
    </row>
    <row r="13" spans="1:2">
      <c r="A13" t="s">
        <v>13</v>
      </c>
    </row>
    <row r="14" spans="1:2" ht="15.6">
      <c r="A14" t="s">
        <v>14</v>
      </c>
    </row>
    <row r="15" spans="1:2">
      <c r="A15" t="s">
        <v>15</v>
      </c>
    </row>
    <row r="16" spans="1:2">
      <c r="A16" s="41" t="s">
        <v>16</v>
      </c>
    </row>
    <row r="17" spans="1:1">
      <c r="A17" t="s">
        <v>17</v>
      </c>
    </row>
    <row r="37" spans="1:1">
      <c r="A37" s="30" t="s">
        <v>18</v>
      </c>
    </row>
    <row r="38" spans="1:1">
      <c r="A38" t="s">
        <v>19</v>
      </c>
    </row>
    <row r="39" spans="1:1">
      <c r="A39" t="s">
        <v>20</v>
      </c>
    </row>
    <row r="40" spans="1:1">
      <c r="A40" t="s">
        <v>21</v>
      </c>
    </row>
    <row r="43" spans="1:1">
      <c r="A43" s="30" t="s">
        <v>22</v>
      </c>
    </row>
    <row r="44" spans="1:1">
      <c r="A44" t="s">
        <v>23</v>
      </c>
    </row>
    <row r="45" spans="1:1">
      <c r="A45" t="s">
        <v>24</v>
      </c>
    </row>
  </sheetData>
  <phoneticPr fontId="20"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6D85E-D35E-4944-8280-B1A3BF34955B}">
  <sheetPr codeName="Feuil4"/>
  <dimension ref="B14:Z59"/>
  <sheetViews>
    <sheetView zoomScale="85" zoomScaleNormal="85" workbookViewId="0">
      <selection activeCell="J23" sqref="J23"/>
    </sheetView>
  </sheetViews>
  <sheetFormatPr defaultColWidth="11.42578125" defaultRowHeight="14.45"/>
  <cols>
    <col min="2" max="2" width="12.7109375" bestFit="1" customWidth="1"/>
    <col min="3" max="3" width="13.5703125" customWidth="1"/>
    <col min="15" max="15" width="11.5703125" customWidth="1"/>
    <col min="16" max="16" width="11.5703125" hidden="1" customWidth="1"/>
    <col min="18" max="18" width="10.7109375" customWidth="1"/>
    <col min="19" max="19" width="30.85546875" bestFit="1" customWidth="1"/>
  </cols>
  <sheetData>
    <row r="14" spans="2:26" ht="22.9">
      <c r="B14" s="46" t="s">
        <v>25</v>
      </c>
      <c r="C14" s="1" t="s">
        <v>26</v>
      </c>
      <c r="D14" s="1" t="s">
        <v>27</v>
      </c>
      <c r="E14" s="1" t="s">
        <v>28</v>
      </c>
      <c r="F14" s="1" t="s">
        <v>29</v>
      </c>
      <c r="G14" s="1" t="s">
        <v>30</v>
      </c>
      <c r="H14" s="1" t="s">
        <v>31</v>
      </c>
      <c r="I14" s="1" t="s">
        <v>32</v>
      </c>
      <c r="J14" s="47" t="s">
        <v>33</v>
      </c>
      <c r="K14" s="1" t="s">
        <v>34</v>
      </c>
      <c r="L14" s="1" t="s">
        <v>35</v>
      </c>
      <c r="M14" s="47" t="s">
        <v>36</v>
      </c>
      <c r="N14" s="1" t="s">
        <v>37</v>
      </c>
      <c r="O14" s="2" t="s">
        <v>38</v>
      </c>
      <c r="P14" s="2" t="s">
        <v>39</v>
      </c>
      <c r="Q14" s="1" t="s">
        <v>40</v>
      </c>
      <c r="R14" s="1" t="s">
        <v>41</v>
      </c>
      <c r="S14" s="1" t="s">
        <v>42</v>
      </c>
      <c r="T14" s="1" t="s">
        <v>43</v>
      </c>
      <c r="U14" s="49" t="s">
        <v>44</v>
      </c>
      <c r="V14" s="3" t="s">
        <v>45</v>
      </c>
      <c r="W14" s="3" t="s">
        <v>46</v>
      </c>
      <c r="X14" s="3" t="s">
        <v>47</v>
      </c>
      <c r="Y14" s="1" t="s">
        <v>48</v>
      </c>
      <c r="Z14" s="1" t="s">
        <v>49</v>
      </c>
    </row>
    <row r="15" spans="2:26">
      <c r="B15" s="46"/>
      <c r="C15" s="4" t="s">
        <v>50</v>
      </c>
      <c r="D15" s="4" t="s">
        <v>50</v>
      </c>
      <c r="E15" s="4" t="s">
        <v>50</v>
      </c>
      <c r="F15" s="4" t="s">
        <v>51</v>
      </c>
      <c r="G15" s="4" t="s">
        <v>51</v>
      </c>
      <c r="H15" s="4" t="s">
        <v>52</v>
      </c>
      <c r="I15" s="4" t="s">
        <v>53</v>
      </c>
      <c r="J15" s="48"/>
      <c r="K15" s="4" t="s">
        <v>53</v>
      </c>
      <c r="L15" s="4" t="s">
        <v>53</v>
      </c>
      <c r="M15" s="48"/>
      <c r="N15" s="4" t="s">
        <v>53</v>
      </c>
      <c r="O15" s="4" t="s">
        <v>54</v>
      </c>
      <c r="P15" s="4" t="s">
        <v>54</v>
      </c>
      <c r="Q15" s="4" t="s">
        <v>51</v>
      </c>
      <c r="R15" s="4" t="s">
        <v>51</v>
      </c>
      <c r="S15" s="4" t="s">
        <v>55</v>
      </c>
      <c r="T15" s="4" t="s">
        <v>55</v>
      </c>
      <c r="U15" s="50"/>
      <c r="V15" s="4" t="s">
        <v>56</v>
      </c>
      <c r="W15" s="4" t="s">
        <v>56</v>
      </c>
      <c r="X15" s="4" t="s">
        <v>56</v>
      </c>
      <c r="Y15" s="4" t="s">
        <v>57</v>
      </c>
      <c r="Z15" s="4" t="s">
        <v>55</v>
      </c>
    </row>
    <row r="16" spans="2:26">
      <c r="B16" s="5" t="s">
        <v>58</v>
      </c>
      <c r="C16" s="14">
        <v>0.3</v>
      </c>
      <c r="D16" s="14">
        <v>0.21</v>
      </c>
      <c r="E16" s="14">
        <v>0.15</v>
      </c>
      <c r="F16" s="7">
        <v>140</v>
      </c>
      <c r="G16" s="7">
        <v>0</v>
      </c>
      <c r="H16" s="12">
        <v>4</v>
      </c>
      <c r="I16" s="7">
        <v>25</v>
      </c>
      <c r="J16" s="14">
        <v>1.5</v>
      </c>
      <c r="K16" s="14">
        <f>I16/J16</f>
        <v>16.666666666666668</v>
      </c>
      <c r="L16" s="7">
        <v>500</v>
      </c>
      <c r="M16" s="7">
        <v>1.1499999999999999</v>
      </c>
      <c r="N16" s="5">
        <f>L16/M16</f>
        <v>434.78260869565219</v>
      </c>
      <c r="O16" s="11">
        <v>90</v>
      </c>
      <c r="P16" s="5">
        <v>45</v>
      </c>
      <c r="Q16" s="8" cm="1">
        <f t="array" ref="Q16">EC2_TRANCHANT_bielle(C16,D16,E16,F16,G16,H16,I16,J16,K16,L16,N16,O16,2)</f>
        <v>29.997695968144235</v>
      </c>
      <c r="R16" s="8" cm="1">
        <f t="array" ref="R16">EC2_TRANCHANT_bielle(C16,D16,E16,F16,G16,H16,I16,J16,K16,L16,N16,O16,3)</f>
        <v>140</v>
      </c>
      <c r="S16" s="6" cm="1">
        <f t="array" ref="S16">EC2_TRANCHANT_bielle(C16,D16,E16,F16,G16,H16,I16,J16,K16,L16,N16,O16,1)</f>
        <v>16.604412044909417</v>
      </c>
      <c r="T16" s="6" cm="1">
        <f t="array" ref="T16">EC2_TRANCHANT_bielle(C16,D16,E16,F16,G16,H16,I16,J16,K16,L16,N16,O16,4)</f>
        <v>1.7142857142857144</v>
      </c>
      <c r="U16" s="6" cm="1">
        <f t="array" ref="U16">EC2_TRANCHANT_bielle(C16,D16,E16,F16,G16,H16,I16,J16,K16,L16,N16,O16,5)</f>
        <v>1.2928290751040425</v>
      </c>
      <c r="V16" s="9">
        <v>6</v>
      </c>
      <c r="W16" s="9">
        <v>6</v>
      </c>
      <c r="X16" s="9">
        <v>0</v>
      </c>
      <c r="Y16" s="9">
        <v>18</v>
      </c>
      <c r="Z16" s="13">
        <f>(PI()*(V16/10)^2/4*2+PI()*(W16/10)^2/4*2+PI()*(X16/10)^2/4)*100/Y16</f>
        <v>6.2831853071795862</v>
      </c>
    </row>
    <row r="17" spans="2:26">
      <c r="B17" s="5" t="s">
        <v>59</v>
      </c>
      <c r="C17" s="14">
        <v>0.75</v>
      </c>
      <c r="D17" s="14">
        <v>0.5</v>
      </c>
      <c r="E17" s="14">
        <v>0.4</v>
      </c>
      <c r="F17" s="7">
        <v>900</v>
      </c>
      <c r="G17" s="7">
        <v>0</v>
      </c>
      <c r="H17" s="12">
        <v>104.52</v>
      </c>
      <c r="I17" s="7">
        <v>25</v>
      </c>
      <c r="J17" s="14">
        <v>1.5</v>
      </c>
      <c r="K17" s="14">
        <f t="shared" ref="K17:K19" si="0">I17/J17</f>
        <v>16.666666666666668</v>
      </c>
      <c r="L17" s="7">
        <v>500</v>
      </c>
      <c r="M17" s="7">
        <v>1.1499999999999999</v>
      </c>
      <c r="N17" s="5">
        <f t="shared" ref="N17:N19" si="1">L17/M17</f>
        <v>434.78260869565219</v>
      </c>
      <c r="O17" s="40">
        <v>90</v>
      </c>
      <c r="P17" s="5">
        <v>45</v>
      </c>
      <c r="Q17" s="8" cm="1">
        <f t="array" ref="Q17">EC2_TRANCHANT_bielle(C17,D17,E17,F17,G17,H17,I17,J17,K17,L17,N17,O17,2)</f>
        <v>193.30770857598685</v>
      </c>
      <c r="R17" s="8" cm="1">
        <f t="array" ref="R17">EC2_TRANCHANT_bielle(C17,D17,E17,F17,G17,H17,I17,J17,K17,L17,N17,O17,3)</f>
        <v>900.00000000000011</v>
      </c>
      <c r="S17" s="6" cm="1">
        <f t="array" ref="S17">EC2_TRANCHANT_bielle(C17,D17,E17,F17,G17,H17,I17,J17,K17,L17,N17,O17,1)</f>
        <v>35.540551516484925</v>
      </c>
      <c r="T17" s="6" cm="1">
        <f t="array" ref="T17">EC2_TRANCHANT_bielle(C17,D17,E17,F17,G17,H17,I17,J17,K17,L17,N17,O17,4)</f>
        <v>4.2857142857142865</v>
      </c>
      <c r="U17" s="6" cm="1">
        <f t="array" ref="U17">EC2_TRANCHANT_bielle(C17,D17,E17,F17,G17,H17,I17,J17,K17,L17,N17,O17,5)</f>
        <v>1.4560832005096085</v>
      </c>
      <c r="V17" s="9">
        <v>25</v>
      </c>
      <c r="W17" s="9">
        <v>6</v>
      </c>
      <c r="X17" s="9">
        <v>0</v>
      </c>
      <c r="Y17" s="9">
        <v>15</v>
      </c>
      <c r="Z17" s="10">
        <f>PI()*(V17/10)^2/4*2*100/Y17</f>
        <v>65.449846949787357</v>
      </c>
    </row>
    <row r="18" spans="2:26">
      <c r="B18" s="5" t="s">
        <v>60</v>
      </c>
      <c r="C18" s="14">
        <v>0.22</v>
      </c>
      <c r="D18" s="14">
        <v>0.8</v>
      </c>
      <c r="E18" s="14">
        <v>0.4</v>
      </c>
      <c r="F18" s="7">
        <v>269.47000000000003</v>
      </c>
      <c r="G18" s="7">
        <v>0</v>
      </c>
      <c r="H18" s="12">
        <v>16.079999999999998</v>
      </c>
      <c r="I18" s="7">
        <v>25</v>
      </c>
      <c r="J18" s="14">
        <v>1.5</v>
      </c>
      <c r="K18" s="14">
        <f t="shared" si="0"/>
        <v>16.666666666666668</v>
      </c>
      <c r="L18" s="7">
        <v>500</v>
      </c>
      <c r="M18" s="7">
        <v>1.1499999999999999</v>
      </c>
      <c r="N18" s="5">
        <f t="shared" si="1"/>
        <v>434.78260869565219</v>
      </c>
      <c r="O18" s="40">
        <v>90</v>
      </c>
      <c r="P18" s="5">
        <v>45</v>
      </c>
      <c r="Q18" s="8" cm="1">
        <f t="array" ref="Q18">EC2_TRANCHANT_bielle(C18,D18,E18,F18,G18,H18,I18,J18,K18,L18,N18,O18,2)</f>
        <v>71.824224284016225</v>
      </c>
      <c r="R18" s="8" cm="1">
        <f t="array" ref="R18">EC2_TRANCHANT_bielle(C18,D18,E18,F18,G18,H18,I18,J18,K18,L18,N18,O18,3)</f>
        <v>269.47000000000003</v>
      </c>
      <c r="S18" s="6" cm="1">
        <f t="array" ref="S18">EC2_TRANCHANT_bielle(C18,D18,E18,F18,G18,H18,I18,J18,K18,L18,N18,O18,1)</f>
        <v>11.319926825583011</v>
      </c>
      <c r="T18" s="6" cm="1">
        <f t="array" ref="T18">EC2_TRANCHANT_bielle(C18,D18,E18,F18,G18,H18,I18,J18,K18,L18,N18,O18,4)</f>
        <v>1.2571428571428573</v>
      </c>
      <c r="U18" s="6" cm="1">
        <f t="array" ref="U18">EC2_TRANCHANT_bielle(C18,D18,E18,F18,G18,H18,I18,J18,K18,L18,N18,O18,5)</f>
        <v>1.3687831413346601</v>
      </c>
      <c r="V18" s="9">
        <v>40</v>
      </c>
      <c r="W18" s="9">
        <v>6</v>
      </c>
      <c r="X18" s="9">
        <v>0</v>
      </c>
      <c r="Y18" s="9">
        <v>20</v>
      </c>
      <c r="Z18" s="10">
        <f>PI()*(V18/10)^2/4*2*100/Y18</f>
        <v>125.66370614359172</v>
      </c>
    </row>
    <row r="19" spans="2:26">
      <c r="B19" s="5" t="s">
        <v>61</v>
      </c>
      <c r="C19" s="14">
        <v>1</v>
      </c>
      <c r="D19" s="14">
        <v>0.5</v>
      </c>
      <c r="E19" s="14">
        <v>0.4</v>
      </c>
      <c r="F19" s="7">
        <v>140</v>
      </c>
      <c r="G19" s="7">
        <v>0</v>
      </c>
      <c r="H19" s="12">
        <v>50</v>
      </c>
      <c r="I19" s="7">
        <v>35</v>
      </c>
      <c r="J19" s="14">
        <v>1.5</v>
      </c>
      <c r="K19" s="14">
        <f t="shared" si="0"/>
        <v>23.333333333333332</v>
      </c>
      <c r="L19" s="7">
        <v>500</v>
      </c>
      <c r="M19" s="7">
        <v>1.1499999999999999</v>
      </c>
      <c r="N19" s="5">
        <f t="shared" si="1"/>
        <v>434.78260869565219</v>
      </c>
      <c r="O19" s="40">
        <v>90</v>
      </c>
      <c r="P19" s="5">
        <v>45</v>
      </c>
      <c r="Q19" s="8" cm="1">
        <f t="array" ref="Q19">EC2_TRANCHANT_bielle(C19,D19,E19,F19,G19,H19,I19,J19,K19,L19,N19,O19,2)</f>
        <v>256.01373641697506</v>
      </c>
      <c r="R19" s="8" cm="1">
        <f t="array" ref="R19">EC2_TRANCHANT_bielle(C19,D19,E19,F19,G19,H19,I19,J19,K19,L19,N19,O19,3)</f>
        <v>1720.0000000000002</v>
      </c>
      <c r="S19" s="6" cm="1">
        <f t="array" ref="S19">EC2_TRANCHANT_bielle(C19,D19,E19,F19,G19,H19,I19,J19,K19,L19,N19,O19,1)</f>
        <v>6.7612340378281335</v>
      </c>
      <c r="T19" s="6" cm="1">
        <f t="array" ref="T19">EC2_TRANCHANT_bielle(C19,D19,E19,F19,G19,H19,I19,J19,K19,L19,N19,O19,4)</f>
        <v>6.7612340378281335</v>
      </c>
      <c r="U19" s="6" cm="1">
        <f t="array" ref="U19">EC2_TRANCHANT_bielle(C19,D19,E19,F19,G19,H19,I19,J19,K19,L19,N19,O19,5)</f>
        <v>0</v>
      </c>
      <c r="V19" s="9">
        <v>40</v>
      </c>
      <c r="W19" s="9">
        <v>6</v>
      </c>
      <c r="X19" s="9">
        <v>0</v>
      </c>
      <c r="Y19" s="9">
        <v>20</v>
      </c>
      <c r="Z19" s="10">
        <f>PI()*(V19/10)^2/4*2*100/Y19</f>
        <v>125.66370614359172</v>
      </c>
    </row>
    <row r="23" spans="2:26">
      <c r="C23" t="s">
        <v>62</v>
      </c>
      <c r="D23" s="15">
        <v>16</v>
      </c>
      <c r="Q23" s="15"/>
    </row>
    <row r="25" spans="2:26" ht="23.45">
      <c r="C25" s="51" t="s">
        <v>63</v>
      </c>
      <c r="D25" s="51"/>
      <c r="E25" s="51"/>
      <c r="F25" s="51"/>
      <c r="P25" s="42"/>
      <c r="Q25" s="42"/>
      <c r="R25" s="42"/>
      <c r="S25" s="42"/>
    </row>
    <row r="29" spans="2:26" ht="15.6">
      <c r="B29" s="16" t="s">
        <v>64</v>
      </c>
      <c r="C29" s="17"/>
      <c r="D29" s="17"/>
      <c r="E29" s="18" t="s">
        <v>65</v>
      </c>
      <c r="F29" s="17"/>
      <c r="G29" s="17"/>
      <c r="H29" s="17"/>
      <c r="O29" s="28"/>
      <c r="R29" s="43"/>
    </row>
    <row r="30" spans="2:26">
      <c r="C30" s="19" t="s">
        <v>66</v>
      </c>
      <c r="D30" s="20" cm="1">
        <f t="array" aca="1" ref="D30" ca="1">INDIRECT("C" &amp; D23)</f>
        <v>0.3</v>
      </c>
      <c r="E30" s="21" t="s">
        <v>67</v>
      </c>
      <c r="P30" s="19"/>
      <c r="Q30" s="20"/>
      <c r="R30" s="21"/>
    </row>
    <row r="31" spans="2:26">
      <c r="C31" s="19" t="s">
        <v>68</v>
      </c>
      <c r="D31" s="20" cm="1">
        <f t="array" aca="1" ref="D31" ca="1">INDIRECT("D" &amp; D23)</f>
        <v>0.21</v>
      </c>
      <c r="E31" s="21" t="s">
        <v>67</v>
      </c>
      <c r="P31" s="19"/>
      <c r="Q31" s="20"/>
      <c r="R31" s="44"/>
    </row>
    <row r="32" spans="2:26">
      <c r="C32" s="19" t="s">
        <v>69</v>
      </c>
      <c r="D32" s="20" cm="1">
        <f t="array" aca="1" ref="D32" ca="1">INDIRECT("E" &amp; D23)</f>
        <v>0.15</v>
      </c>
      <c r="E32" s="21" t="s">
        <v>67</v>
      </c>
      <c r="P32" s="19"/>
      <c r="Q32" s="20"/>
      <c r="R32" s="21"/>
    </row>
    <row r="33" spans="2:18">
      <c r="C33" s="19"/>
      <c r="D33" s="20"/>
      <c r="E33" s="21"/>
      <c r="P33" s="19"/>
      <c r="Q33" s="20"/>
      <c r="R33" s="21"/>
    </row>
    <row r="34" spans="2:18" ht="15.6">
      <c r="B34" s="16" t="s">
        <v>70</v>
      </c>
      <c r="C34" s="22"/>
      <c r="D34" s="17"/>
      <c r="E34" s="23"/>
      <c r="F34" s="17"/>
      <c r="G34" s="17"/>
      <c r="H34" s="17"/>
      <c r="O34" s="28"/>
      <c r="P34" s="19"/>
      <c r="R34" s="21"/>
    </row>
    <row r="35" spans="2:18">
      <c r="C35" s="19" t="s">
        <v>71</v>
      </c>
      <c r="D35" s="29" cm="1">
        <f t="array" aca="1" ref="D35" ca="1">INDIRECT("F" &amp; D23)</f>
        <v>140</v>
      </c>
      <c r="E35" s="21" t="s">
        <v>72</v>
      </c>
      <c r="P35" s="19"/>
      <c r="Q35" s="29"/>
      <c r="R35" s="21"/>
    </row>
    <row r="36" spans="2:18">
      <c r="C36" s="19" t="s">
        <v>73</v>
      </c>
      <c r="D36" s="20" cm="1">
        <f t="array" aca="1" ref="D36" ca="1">INDIRECT("G" &amp; D23)</f>
        <v>0</v>
      </c>
      <c r="E36" s="21" t="s">
        <v>72</v>
      </c>
      <c r="P36" s="19"/>
      <c r="Q36" s="20"/>
      <c r="R36" s="21"/>
    </row>
    <row r="37" spans="2:18">
      <c r="C37" s="19"/>
      <c r="D37" s="20"/>
      <c r="E37" s="21"/>
      <c r="P37" s="19"/>
      <c r="Q37" s="20"/>
      <c r="R37" s="21"/>
    </row>
    <row r="38" spans="2:18" ht="15.6">
      <c r="B38" s="16" t="s">
        <v>74</v>
      </c>
      <c r="C38" s="22"/>
      <c r="D38" s="17"/>
      <c r="E38" s="23"/>
      <c r="F38" s="17"/>
      <c r="G38" s="17"/>
      <c r="H38" s="17"/>
      <c r="O38" s="28"/>
      <c r="P38" s="19"/>
      <c r="R38" s="21"/>
    </row>
    <row r="39" spans="2:18" ht="16.149999999999999">
      <c r="C39" s="19" t="s">
        <v>75</v>
      </c>
      <c r="D39" s="20" cm="1">
        <f t="array" aca="1" ref="D39" ca="1">INDIRECT("I" &amp; D23)</f>
        <v>25</v>
      </c>
      <c r="E39" s="21" t="s">
        <v>76</v>
      </c>
      <c r="P39" s="19"/>
      <c r="Q39" s="20"/>
      <c r="R39" s="21"/>
    </row>
    <row r="40" spans="2:18">
      <c r="C40" s="26" t="s">
        <v>77</v>
      </c>
      <c r="D40" s="20" cm="1">
        <f t="array" aca="1" ref="D40" ca="1">INDIRECT("J" &amp; D23)</f>
        <v>1.5</v>
      </c>
      <c r="E40" s="21"/>
      <c r="P40" s="26"/>
      <c r="Q40" s="20"/>
      <c r="R40" s="21"/>
    </row>
    <row r="41" spans="2:18">
      <c r="C41" s="27" t="s">
        <v>78</v>
      </c>
      <c r="D41" s="20" cm="1">
        <f t="array" aca="1" ref="D41" ca="1">INDIRECT("K" &amp; D23)</f>
        <v>16.666666666666668</v>
      </c>
      <c r="E41" s="21" t="s">
        <v>76</v>
      </c>
      <c r="P41" s="19"/>
      <c r="Q41" s="20"/>
      <c r="R41" s="21"/>
    </row>
    <row r="42" spans="2:18">
      <c r="C42" s="19" t="s">
        <v>79</v>
      </c>
      <c r="D42" s="20" cm="1">
        <f t="array" aca="1" ref="D42" ca="1">INDIRECT("L" &amp; D23)</f>
        <v>500</v>
      </c>
      <c r="E42" s="21" t="s">
        <v>76</v>
      </c>
      <c r="P42" s="26"/>
      <c r="Q42" s="20"/>
      <c r="R42" s="21"/>
    </row>
    <row r="43" spans="2:18">
      <c r="C43" s="26" t="s">
        <v>80</v>
      </c>
      <c r="D43" s="20" cm="1">
        <f t="array" aca="1" ref="D43" ca="1">INDIRECT("M" &amp; $D$23)</f>
        <v>1.1499999999999999</v>
      </c>
      <c r="E43" s="21"/>
      <c r="P43" s="19"/>
      <c r="R43" s="21"/>
    </row>
    <row r="44" spans="2:18" ht="15.6">
      <c r="C44" s="27" t="s">
        <v>81</v>
      </c>
      <c r="D44" s="20" cm="1">
        <f t="array" aca="1" ref="D44" ca="1">INDIRECT("N" &amp; $D$23)</f>
        <v>434.78260869565219</v>
      </c>
      <c r="E44" s="21" t="s">
        <v>76</v>
      </c>
      <c r="O44" s="28"/>
      <c r="P44" s="19"/>
      <c r="R44" s="21"/>
    </row>
    <row r="45" spans="2:18">
      <c r="C45" s="19"/>
      <c r="E45" s="21"/>
      <c r="P45" s="25"/>
      <c r="Q45" s="20"/>
      <c r="R45" s="21"/>
    </row>
    <row r="46" spans="2:18" ht="15.6">
      <c r="B46" s="16" t="s">
        <v>82</v>
      </c>
      <c r="C46" s="22"/>
      <c r="D46" s="17"/>
      <c r="E46" s="23"/>
      <c r="F46" s="17"/>
      <c r="G46" s="17"/>
      <c r="H46" s="17"/>
      <c r="P46" s="25"/>
      <c r="Q46" s="20"/>
      <c r="R46" s="21"/>
    </row>
    <row r="47" spans="2:18">
      <c r="C47" s="25" t="s">
        <v>83</v>
      </c>
      <c r="D47" s="20" cm="1">
        <f t="array" aca="1" ref="D47" ca="1">INDIRECT("O" &amp; $D$23)</f>
        <v>90</v>
      </c>
      <c r="E47" s="21" t="s">
        <v>84</v>
      </c>
    </row>
    <row r="48" spans="2:18">
      <c r="C48" s="25"/>
      <c r="E48" s="21"/>
    </row>
    <row r="49" spans="2:18" ht="15.6">
      <c r="B49" s="16" t="s">
        <v>85</v>
      </c>
      <c r="C49" s="22"/>
      <c r="D49" s="17"/>
      <c r="E49" s="23"/>
      <c r="F49" s="17"/>
      <c r="G49" s="17"/>
      <c r="H49" s="17"/>
      <c r="P49" s="25"/>
      <c r="R49" s="21"/>
    </row>
    <row r="50" spans="2:18" ht="15.6">
      <c r="C50" s="24" t="s">
        <v>86</v>
      </c>
      <c r="D50" s="45" cm="1">
        <f t="array" aca="1" ref="D50" ca="1">INDIRECT("U" &amp; D23)</f>
        <v>1.2928290751040425</v>
      </c>
      <c r="E50" s="21"/>
      <c r="O50" s="28"/>
      <c r="P50" s="19"/>
      <c r="R50" s="21"/>
    </row>
    <row r="51" spans="2:18">
      <c r="P51" s="24"/>
      <c r="Q51" s="29"/>
      <c r="R51" s="21"/>
    </row>
    <row r="52" spans="2:18" ht="15.6">
      <c r="B52" s="16" t="s">
        <v>87</v>
      </c>
      <c r="C52" s="22"/>
      <c r="D52" s="17"/>
      <c r="E52" s="23"/>
      <c r="F52" s="17"/>
      <c r="G52" s="17"/>
      <c r="H52" s="17"/>
      <c r="P52" s="24"/>
      <c r="Q52" s="29"/>
      <c r="R52" s="21"/>
    </row>
    <row r="53" spans="2:18">
      <c r="C53" s="24" t="s">
        <v>88</v>
      </c>
      <c r="D53" s="29" cm="1">
        <f t="array" aca="1" ref="D53" ca="1">INDIRECT("Q" &amp; D23)</f>
        <v>29.997695968144235</v>
      </c>
      <c r="E53" s="21" t="s">
        <v>76</v>
      </c>
      <c r="P53" s="19"/>
      <c r="R53" s="21"/>
    </row>
    <row r="54" spans="2:18" ht="15.6">
      <c r="C54" s="24" t="s">
        <v>89</v>
      </c>
      <c r="D54" s="29" cm="1">
        <f t="array" aca="1" ref="D54" ca="1">INDIRECT("R" &amp; D23)</f>
        <v>140</v>
      </c>
      <c r="E54" s="21" t="s">
        <v>76</v>
      </c>
      <c r="O54" s="28"/>
      <c r="P54" s="19"/>
      <c r="R54" s="21"/>
    </row>
    <row r="55" spans="2:18">
      <c r="C55" s="19"/>
      <c r="E55" s="21"/>
      <c r="P55" s="27"/>
      <c r="Q55" s="29"/>
      <c r="R55" s="21"/>
    </row>
    <row r="56" spans="2:18" ht="15.6">
      <c r="B56" s="16" t="s">
        <v>90</v>
      </c>
      <c r="C56" s="22"/>
      <c r="D56" s="17"/>
      <c r="E56" s="23"/>
      <c r="F56" s="17"/>
      <c r="G56" s="17"/>
      <c r="H56" s="17"/>
      <c r="P56" s="27"/>
      <c r="Q56" s="29"/>
      <c r="R56" s="21"/>
    </row>
    <row r="57" spans="2:18">
      <c r="C57" s="27" t="s">
        <v>91</v>
      </c>
      <c r="D57" s="29" cm="1">
        <f t="array" aca="1" ref="D57" ca="1">INDIRECT("S" &amp; D23)</f>
        <v>16.604412044909417</v>
      </c>
      <c r="E57" s="21" t="s">
        <v>92</v>
      </c>
    </row>
    <row r="58" spans="2:18">
      <c r="C58" s="27" t="s">
        <v>93</v>
      </c>
      <c r="D58" s="29" cm="1">
        <f t="array" aca="1" ref="D58" ca="1">INDIRECT("T" &amp; D23)</f>
        <v>1.7142857142857144</v>
      </c>
      <c r="E58" s="21" t="s">
        <v>92</v>
      </c>
    </row>
    <row r="59" spans="2:18">
      <c r="B59" s="24"/>
      <c r="C59" s="21"/>
    </row>
  </sheetData>
  <mergeCells count="5">
    <mergeCell ref="B14:B15"/>
    <mergeCell ref="J14:J15"/>
    <mergeCell ref="M14:M15"/>
    <mergeCell ref="U14:U15"/>
    <mergeCell ref="C25:F25"/>
  </mergeCells>
  <phoneticPr fontId="20" type="noConversion"/>
  <printOptions horizontalCentered="1"/>
  <pageMargins left="0.70866141732283472" right="0.70866141732283472" top="0.74803149606299213" bottom="0.74803149606299213" header="0.31496062992125984" footer="0.31496062992125984"/>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DC8E6-7F3F-41A2-A1DC-179A41120BBC}">
  <sheetPr codeName="Feuil1"/>
  <dimension ref="B14:AN58"/>
  <sheetViews>
    <sheetView zoomScale="85" zoomScaleNormal="85" workbookViewId="0">
      <selection activeCell="K22" sqref="K22"/>
    </sheetView>
  </sheetViews>
  <sheetFormatPr defaultColWidth="11.42578125" defaultRowHeight="14.45"/>
  <cols>
    <col min="2" max="2" width="12.7109375" bestFit="1" customWidth="1"/>
    <col min="3" max="3" width="14.140625" customWidth="1"/>
    <col min="16" max="16" width="11.5703125" hidden="1" customWidth="1"/>
    <col min="18" max="18" width="10.7109375" customWidth="1"/>
    <col min="19" max="19" width="30.85546875" bestFit="1" customWidth="1"/>
  </cols>
  <sheetData>
    <row r="14" spans="2:25" ht="22.9">
      <c r="B14" s="46" t="s">
        <v>25</v>
      </c>
      <c r="C14" s="1" t="s">
        <v>26</v>
      </c>
      <c r="D14" s="1" t="s">
        <v>27</v>
      </c>
      <c r="E14" s="1" t="s">
        <v>28</v>
      </c>
      <c r="F14" s="1" t="s">
        <v>29</v>
      </c>
      <c r="G14" s="1" t="s">
        <v>30</v>
      </c>
      <c r="H14" s="1" t="s">
        <v>31</v>
      </c>
      <c r="I14" s="1" t="s">
        <v>32</v>
      </c>
      <c r="J14" s="47" t="s">
        <v>33</v>
      </c>
      <c r="K14" s="1" t="s">
        <v>34</v>
      </c>
      <c r="L14" s="1" t="s">
        <v>35</v>
      </c>
      <c r="M14" s="47" t="s">
        <v>36</v>
      </c>
      <c r="N14" s="1" t="s">
        <v>37</v>
      </c>
      <c r="O14" s="2" t="s">
        <v>38</v>
      </c>
      <c r="P14" s="2" t="s">
        <v>39</v>
      </c>
      <c r="Q14" s="1" t="s">
        <v>40</v>
      </c>
      <c r="R14" s="1" t="s">
        <v>41</v>
      </c>
      <c r="S14" s="1" t="s">
        <v>42</v>
      </c>
      <c r="T14" s="1" t="s">
        <v>43</v>
      </c>
      <c r="U14" s="3" t="s">
        <v>45</v>
      </c>
      <c r="V14" s="3" t="s">
        <v>46</v>
      </c>
      <c r="W14" s="3" t="s">
        <v>47</v>
      </c>
      <c r="X14" s="1" t="s">
        <v>48</v>
      </c>
      <c r="Y14" s="1" t="s">
        <v>49</v>
      </c>
    </row>
    <row r="15" spans="2:25">
      <c r="B15" s="46"/>
      <c r="C15" s="4" t="s">
        <v>50</v>
      </c>
      <c r="D15" s="4" t="s">
        <v>50</v>
      </c>
      <c r="E15" s="4" t="s">
        <v>50</v>
      </c>
      <c r="F15" s="4" t="s">
        <v>51</v>
      </c>
      <c r="G15" s="4" t="s">
        <v>51</v>
      </c>
      <c r="H15" s="4" t="s">
        <v>52</v>
      </c>
      <c r="I15" s="4" t="s">
        <v>53</v>
      </c>
      <c r="J15" s="48"/>
      <c r="K15" s="4" t="s">
        <v>53</v>
      </c>
      <c r="L15" s="4" t="s">
        <v>53</v>
      </c>
      <c r="M15" s="48"/>
      <c r="N15" s="4" t="s">
        <v>53</v>
      </c>
      <c r="O15" s="4" t="s">
        <v>54</v>
      </c>
      <c r="P15" s="4" t="s">
        <v>54</v>
      </c>
      <c r="Q15" s="4" t="s">
        <v>51</v>
      </c>
      <c r="R15" s="4" t="s">
        <v>51</v>
      </c>
      <c r="S15" s="4" t="s">
        <v>55</v>
      </c>
      <c r="T15" s="4" t="s">
        <v>55</v>
      </c>
      <c r="U15" s="4" t="s">
        <v>56</v>
      </c>
      <c r="V15" s="4" t="s">
        <v>56</v>
      </c>
      <c r="W15" s="4" t="s">
        <v>56</v>
      </c>
      <c r="X15" s="4" t="s">
        <v>57</v>
      </c>
      <c r="Y15" s="4" t="s">
        <v>55</v>
      </c>
    </row>
    <row r="16" spans="2:25">
      <c r="B16" s="5" t="s">
        <v>58</v>
      </c>
      <c r="C16" s="14">
        <v>0.2</v>
      </c>
      <c r="D16" s="14">
        <v>0.159</v>
      </c>
      <c r="E16" s="14">
        <v>0.14299999999999999</v>
      </c>
      <c r="F16" s="7">
        <v>38.799999999999997</v>
      </c>
      <c r="G16" s="7">
        <v>0.4</v>
      </c>
      <c r="H16" s="12">
        <v>9.42</v>
      </c>
      <c r="I16" s="7">
        <v>25</v>
      </c>
      <c r="J16" s="14">
        <v>1.5</v>
      </c>
      <c r="K16" s="14">
        <f>I16/J16</f>
        <v>16.666666666666668</v>
      </c>
      <c r="L16" s="7">
        <v>500</v>
      </c>
      <c r="M16" s="7">
        <v>1.1499999999999999</v>
      </c>
      <c r="N16" s="5">
        <f>L16/M16</f>
        <v>434.78260869565219</v>
      </c>
      <c r="O16" s="11">
        <v>90</v>
      </c>
      <c r="P16" s="5">
        <v>45</v>
      </c>
      <c r="Q16" s="8" cm="1">
        <f t="array" ref="Q16">EC2_TRANCHANT_standard(C16,D16,E16,F16,G16,H16,I16,J16,K16,L16,N16,O16,2)</f>
        <v>20.143234569731021</v>
      </c>
      <c r="R16" s="8" cm="1">
        <f t="array" ref="R16">EC2_TRANCHANT_standard(C16,D16,E16,F16,G16,H16,I16,J16,K16,L16,N16,O16,3)</f>
        <v>91.928571428571445</v>
      </c>
      <c r="S16" s="6" cm="1">
        <f t="array" ref="S16">EC2_TRANCHANT_standard(C16,D16,E16,F16,G16,H16,I16,J16,K16,L16,N16,O16,1)</f>
        <v>6.2405594405594398</v>
      </c>
      <c r="T16" s="6" cm="1">
        <f t="array" ref="T16">EC2_TRANCHANT_standard(C16,D16,E16,F16,G16,H16,I16,J16,K16,L16,N16,O16,4)</f>
        <v>1.142857142857143</v>
      </c>
      <c r="U16" s="9">
        <v>6</v>
      </c>
      <c r="V16" s="9">
        <v>6</v>
      </c>
      <c r="W16" s="9">
        <v>0</v>
      </c>
      <c r="X16" s="9">
        <v>18</v>
      </c>
      <c r="Y16" s="13">
        <f>(PI()*(U16/10)^2/4*2+PI()*(V16/10)^2/4*2+PI()*(W16/10)^2/4)*100/X16</f>
        <v>6.2831853071795862</v>
      </c>
    </row>
    <row r="17" spans="2:25">
      <c r="B17" s="5" t="s">
        <v>59</v>
      </c>
      <c r="C17" s="14">
        <v>0.75</v>
      </c>
      <c r="D17" s="14">
        <v>0.5</v>
      </c>
      <c r="E17" s="14">
        <v>0.4</v>
      </c>
      <c r="F17" s="7">
        <v>1000</v>
      </c>
      <c r="G17" s="7">
        <v>0</v>
      </c>
      <c r="H17" s="12">
        <v>104.52</v>
      </c>
      <c r="I17" s="7">
        <v>25</v>
      </c>
      <c r="J17" s="14">
        <v>1.5</v>
      </c>
      <c r="K17" s="14">
        <f t="shared" ref="K17:K19" si="0">I17/J17</f>
        <v>16.666666666666668</v>
      </c>
      <c r="L17" s="7">
        <v>500</v>
      </c>
      <c r="M17" s="7">
        <v>1.1499999999999999</v>
      </c>
      <c r="N17" s="5">
        <f t="shared" ref="N17:N19" si="1">L17/M17</f>
        <v>434.78260869565219</v>
      </c>
      <c r="O17" s="40">
        <v>90</v>
      </c>
      <c r="P17" s="5">
        <v>45</v>
      </c>
      <c r="Q17" s="8" cm="1">
        <f t="array" ref="Q17">EC2_TRANCHANT_standard(C17,D17,E17,F17,G17,H17,I17,J17,K17,L17,N17,O17,2)</f>
        <v>193.30770857598685</v>
      </c>
      <c r="R17" s="8" cm="1">
        <f t="array" ref="R17">EC2_TRANCHANT_standard(C17,D17,E17,F17,G17,H17,I17,J17,K17,L17,N17,O17,3)</f>
        <v>964.28571428571456</v>
      </c>
      <c r="S17" s="6" t="str" cm="1">
        <f t="array" ref="S17">EC2_TRANCHANT_standard(C17,D17,E17,F17,G17,H17,I17,J17,K17,L17,N17,O17,1)</f>
        <v>Augmenter le coffrage (B et/ou d)</v>
      </c>
      <c r="T17" s="6" cm="1">
        <f t="array" ref="T17">EC2_TRANCHANT_standard(C17,D17,E17,F17,G17,H17,I17,J17,K17,L17,N17,O17,4)</f>
        <v>0</v>
      </c>
      <c r="U17" s="9">
        <v>25</v>
      </c>
      <c r="V17" s="9">
        <v>6</v>
      </c>
      <c r="W17" s="9">
        <v>0</v>
      </c>
      <c r="X17" s="9">
        <v>15</v>
      </c>
      <c r="Y17" s="10">
        <f>PI()*(U17/10)^2/4*2*100/X17</f>
        <v>65.449846949787357</v>
      </c>
    </row>
    <row r="18" spans="2:25">
      <c r="B18" s="5" t="s">
        <v>60</v>
      </c>
      <c r="C18" s="14">
        <v>0.22</v>
      </c>
      <c r="D18" s="14">
        <v>0.8</v>
      </c>
      <c r="E18" s="14">
        <v>0.4</v>
      </c>
      <c r="F18" s="7">
        <v>1000</v>
      </c>
      <c r="G18" s="7">
        <v>0</v>
      </c>
      <c r="H18" s="12">
        <v>16.079999999999998</v>
      </c>
      <c r="I18" s="7">
        <v>25</v>
      </c>
      <c r="J18" s="14">
        <v>1.5</v>
      </c>
      <c r="K18" s="14">
        <f t="shared" si="0"/>
        <v>16.666666666666668</v>
      </c>
      <c r="L18" s="7">
        <v>500</v>
      </c>
      <c r="M18" s="7">
        <v>1.1499999999999999</v>
      </c>
      <c r="N18" s="5">
        <f t="shared" si="1"/>
        <v>434.78260869565219</v>
      </c>
      <c r="O18" s="40">
        <v>90</v>
      </c>
      <c r="P18" s="5">
        <v>45</v>
      </c>
      <c r="Q18" s="8" cm="1">
        <f t="array" ref="Q18">EC2_TRANCHANT_standard(C18,D18,E18,F18,G18,H18,I18,J18,K18,L18,N18,O18,2)</f>
        <v>71.824224284016225</v>
      </c>
      <c r="R18" s="8" cm="1">
        <f t="array" ref="R18">EC2_TRANCHANT_standard(C18,D18,E18,F18,G18,H18,I18,J18,K18,L18,N18,O18,3)</f>
        <v>282.85714285714295</v>
      </c>
      <c r="S18" s="6" t="str" cm="1">
        <f t="array" ref="S18">EC2_TRANCHANT_standard(C18,D18,E18,F18,G18,H18,I18,J18,K18,L18,N18,O18,1)</f>
        <v>Augmenter le coffrage (B et/ou d)</v>
      </c>
      <c r="T18" s="6" cm="1">
        <f t="array" ref="T18">EC2_TRANCHANT_standard(C18,D18,E18,F18,G18,H18,I18,J18,K18,L18,N18,O18,4)</f>
        <v>0</v>
      </c>
      <c r="U18" s="9">
        <v>40</v>
      </c>
      <c r="V18" s="9">
        <v>6</v>
      </c>
      <c r="W18" s="9">
        <v>0</v>
      </c>
      <c r="X18" s="9">
        <v>20</v>
      </c>
      <c r="Y18" s="10">
        <f>PI()*(U18/10)^2/4*2*100/X18</f>
        <v>125.66370614359172</v>
      </c>
    </row>
    <row r="19" spans="2:25">
      <c r="B19" s="5" t="s">
        <v>61</v>
      </c>
      <c r="C19" s="14">
        <v>1</v>
      </c>
      <c r="D19" s="14">
        <v>0.5</v>
      </c>
      <c r="E19" s="14">
        <v>0.4</v>
      </c>
      <c r="F19" s="7">
        <v>140</v>
      </c>
      <c r="G19" s="7">
        <v>0</v>
      </c>
      <c r="H19" s="12">
        <v>50</v>
      </c>
      <c r="I19" s="7">
        <v>35</v>
      </c>
      <c r="J19" s="14">
        <v>1.5</v>
      </c>
      <c r="K19" s="14">
        <f t="shared" si="0"/>
        <v>23.333333333333332</v>
      </c>
      <c r="L19" s="7">
        <v>500</v>
      </c>
      <c r="M19" s="7">
        <v>1.1499999999999999</v>
      </c>
      <c r="N19" s="5">
        <f t="shared" si="1"/>
        <v>434.78260869565219</v>
      </c>
      <c r="O19" s="40">
        <v>90</v>
      </c>
      <c r="P19" s="5">
        <v>45</v>
      </c>
      <c r="Q19" s="8" cm="1">
        <f t="array" ref="Q19">EC2_TRANCHANT_standard(C19,D19,E19,F19,G19,H19,I19,J19,K19,L19,N19,O19,2)</f>
        <v>256.01373641697506</v>
      </c>
      <c r="R19" s="8" cm="1">
        <f t="array" ref="R19">EC2_TRANCHANT_standard(C19,D19,E19,F19,G19,H19,I19,J19,K19,L19,N19,O19,3)</f>
        <v>1720.0000000000002</v>
      </c>
      <c r="S19" s="6" cm="1">
        <f t="array" ref="S19">EC2_TRANCHANT_standard(C19,D19,E19,F19,G19,H19,I19,J19,K19,L19,N19,O19,1)</f>
        <v>6.7612340378281335</v>
      </c>
      <c r="T19" s="6" cm="1">
        <f t="array" ref="T19">EC2_TRANCHANT_standard(C19,D19,E19,F19,G19,H19,I19,J19,K19,L19,N19,O19,4)</f>
        <v>6.7612340378281335</v>
      </c>
      <c r="U19" s="9">
        <v>40</v>
      </c>
      <c r="V19" s="9">
        <v>6</v>
      </c>
      <c r="W19" s="9">
        <v>0</v>
      </c>
      <c r="X19" s="9">
        <v>20</v>
      </c>
      <c r="Y19" s="10">
        <f>PI()*(U19/10)^2/4*2*100/X19</f>
        <v>125.66370614359172</v>
      </c>
    </row>
    <row r="23" spans="2:25">
      <c r="C23" t="s">
        <v>62</v>
      </c>
      <c r="D23" s="15">
        <v>16</v>
      </c>
    </row>
    <row r="25" spans="2:25" ht="23.45">
      <c r="C25" s="51" t="s">
        <v>63</v>
      </c>
      <c r="D25" s="51"/>
      <c r="E25" s="51"/>
      <c r="F25" s="51"/>
    </row>
    <row r="29" spans="2:25" ht="15.6">
      <c r="B29" s="16" t="s">
        <v>64</v>
      </c>
      <c r="C29" s="17"/>
      <c r="D29" s="17"/>
      <c r="E29" s="18" t="s">
        <v>65</v>
      </c>
      <c r="F29" s="17"/>
      <c r="G29" s="17"/>
      <c r="H29" s="17"/>
    </row>
    <row r="30" spans="2:25">
      <c r="C30" s="19" t="s">
        <v>66</v>
      </c>
      <c r="D30" s="20" cm="1">
        <f t="array" aca="1" ref="D30" ca="1">INDIRECT("C" &amp; D23)</f>
        <v>0.2</v>
      </c>
      <c r="E30" s="21" t="s">
        <v>67</v>
      </c>
    </row>
    <row r="31" spans="2:25">
      <c r="C31" s="19" t="s">
        <v>68</v>
      </c>
      <c r="D31" s="20" cm="1">
        <f t="array" aca="1" ref="D31" ca="1">INDIRECT("D" &amp; D23)</f>
        <v>0.159</v>
      </c>
      <c r="E31" s="21" t="s">
        <v>67</v>
      </c>
    </row>
    <row r="32" spans="2:25">
      <c r="C32" s="19" t="s">
        <v>69</v>
      </c>
      <c r="D32" s="20" cm="1">
        <f t="array" aca="1" ref="D32" ca="1">INDIRECT("E" &amp; D23)</f>
        <v>0.14299999999999999</v>
      </c>
      <c r="E32" s="21" t="s">
        <v>67</v>
      </c>
    </row>
    <row r="33" spans="2:8">
      <c r="C33" s="19"/>
      <c r="D33" s="20"/>
      <c r="E33" s="21"/>
    </row>
    <row r="34" spans="2:8" ht="15.6">
      <c r="B34" s="16" t="s">
        <v>70</v>
      </c>
      <c r="C34" s="22"/>
      <c r="D34" s="17"/>
      <c r="E34" s="23"/>
      <c r="F34" s="17"/>
      <c r="G34" s="17"/>
      <c r="H34" s="17"/>
    </row>
    <row r="35" spans="2:8">
      <c r="C35" s="19" t="s">
        <v>71</v>
      </c>
      <c r="D35" s="29" cm="1">
        <f t="array" aca="1" ref="D35" ca="1">INDIRECT("F" &amp; D23)</f>
        <v>38.799999999999997</v>
      </c>
      <c r="E35" s="21" t="s">
        <v>72</v>
      </c>
    </row>
    <row r="36" spans="2:8">
      <c r="C36" s="19" t="s">
        <v>73</v>
      </c>
      <c r="D36" s="20" cm="1">
        <f t="array" aca="1" ref="D36" ca="1">INDIRECT("G" &amp; D23)</f>
        <v>0.4</v>
      </c>
      <c r="E36" s="21" t="s">
        <v>72</v>
      </c>
    </row>
    <row r="37" spans="2:8">
      <c r="C37" s="19"/>
      <c r="D37" s="20"/>
      <c r="E37" s="21"/>
    </row>
    <row r="38" spans="2:8" ht="15.6">
      <c r="B38" s="16" t="s">
        <v>74</v>
      </c>
      <c r="C38" s="22"/>
      <c r="D38" s="17"/>
      <c r="E38" s="23"/>
      <c r="F38" s="17"/>
      <c r="G38" s="17"/>
      <c r="H38" s="17"/>
    </row>
    <row r="39" spans="2:8" ht="16.149999999999999">
      <c r="C39" s="19" t="s">
        <v>75</v>
      </c>
      <c r="D39" s="20" cm="1">
        <f t="array" aca="1" ref="D39" ca="1">INDIRECT("I" &amp; D23)</f>
        <v>25</v>
      </c>
      <c r="E39" s="21" t="s">
        <v>76</v>
      </c>
    </row>
    <row r="40" spans="2:8">
      <c r="C40" s="26" t="s">
        <v>77</v>
      </c>
      <c r="D40" s="20" cm="1">
        <f t="array" aca="1" ref="D40" ca="1">INDIRECT("J" &amp; D23)</f>
        <v>1.5</v>
      </c>
      <c r="E40" s="21"/>
    </row>
    <row r="41" spans="2:8">
      <c r="C41" s="27" t="s">
        <v>78</v>
      </c>
      <c r="D41" s="20" cm="1">
        <f t="array" aca="1" ref="D41" ca="1">INDIRECT("K" &amp; D23)</f>
        <v>16.666666666666668</v>
      </c>
      <c r="E41" s="21" t="s">
        <v>76</v>
      </c>
    </row>
    <row r="42" spans="2:8">
      <c r="C42" s="19" t="s">
        <v>79</v>
      </c>
      <c r="D42" s="20" cm="1">
        <f t="array" aca="1" ref="D42" ca="1">INDIRECT("L" &amp; D23)</f>
        <v>500</v>
      </c>
      <c r="E42" s="21" t="s">
        <v>76</v>
      </c>
    </row>
    <row r="43" spans="2:8">
      <c r="C43" s="26" t="s">
        <v>80</v>
      </c>
      <c r="D43" s="20" cm="1">
        <f t="array" aca="1" ref="D43" ca="1">INDIRECT("M" &amp; $D$23)</f>
        <v>1.1499999999999999</v>
      </c>
      <c r="E43" s="21"/>
    </row>
    <row r="44" spans="2:8">
      <c r="C44" s="27" t="s">
        <v>81</v>
      </c>
      <c r="D44" s="20" cm="1">
        <f t="array" aca="1" ref="D44" ca="1">INDIRECT("N" &amp; $D$23)</f>
        <v>434.78260869565219</v>
      </c>
      <c r="E44" s="21" t="s">
        <v>76</v>
      </c>
    </row>
    <row r="45" spans="2:8">
      <c r="C45" s="19"/>
      <c r="E45" s="21"/>
    </row>
    <row r="46" spans="2:8" ht="15.6">
      <c r="B46" s="16" t="s">
        <v>82</v>
      </c>
      <c r="C46" s="22"/>
      <c r="D46" s="17"/>
      <c r="E46" s="23"/>
      <c r="F46" s="17"/>
      <c r="G46" s="17"/>
      <c r="H46" s="17"/>
    </row>
    <row r="47" spans="2:8">
      <c r="C47" s="25" t="s">
        <v>83</v>
      </c>
      <c r="D47" s="20" cm="1">
        <f t="array" aca="1" ref="D47" ca="1">INDIRECT("O" &amp; $D$23)</f>
        <v>90</v>
      </c>
      <c r="E47" s="21" t="s">
        <v>84</v>
      </c>
    </row>
    <row r="48" spans="2:8">
      <c r="C48" s="25"/>
      <c r="E48" s="21"/>
    </row>
    <row r="49" spans="2:40" ht="15.6">
      <c r="B49" s="16" t="s">
        <v>87</v>
      </c>
      <c r="C49" s="22"/>
      <c r="D49" s="17"/>
      <c r="E49" s="23"/>
      <c r="F49" s="17"/>
      <c r="G49" s="17"/>
      <c r="H49" s="17"/>
    </row>
    <row r="50" spans="2:40">
      <c r="C50" s="24" t="s">
        <v>88</v>
      </c>
      <c r="D50" s="29" cm="1">
        <f t="array" aca="1" ref="D50" ca="1">INDIRECT("Q" &amp; D23)</f>
        <v>20.143234569731021</v>
      </c>
      <c r="E50" s="21" t="s">
        <v>76</v>
      </c>
    </row>
    <row r="51" spans="2:40">
      <c r="C51" s="24" t="s">
        <v>89</v>
      </c>
      <c r="D51" s="29" cm="1">
        <f t="array" aca="1" ref="D51" ca="1">INDIRECT("R" &amp; D23)</f>
        <v>91.928571428571445</v>
      </c>
      <c r="E51" s="21" t="s">
        <v>76</v>
      </c>
    </row>
    <row r="52" spans="2:40">
      <c r="C52" s="19"/>
      <c r="E52" s="21"/>
    </row>
    <row r="53" spans="2:40" ht="15.6">
      <c r="B53" s="16" t="s">
        <v>90</v>
      </c>
      <c r="C53" s="22"/>
      <c r="D53" s="17"/>
      <c r="E53" s="23"/>
      <c r="F53" s="17"/>
      <c r="G53" s="17"/>
      <c r="H53" s="17"/>
    </row>
    <row r="54" spans="2:40">
      <c r="C54" s="27" t="s">
        <v>91</v>
      </c>
      <c r="D54" s="29" cm="1">
        <f t="array" aca="1" ref="D54" ca="1">INDIRECT("S" &amp; D23)</f>
        <v>6.2405594405594398</v>
      </c>
      <c r="E54" s="21" t="s">
        <v>92</v>
      </c>
      <c r="AL54" s="19"/>
      <c r="AN54" s="21"/>
    </row>
    <row r="55" spans="2:40" ht="15.6">
      <c r="C55" s="27" t="s">
        <v>93</v>
      </c>
      <c r="D55" s="29" cm="1">
        <f t="array" aca="1" ref="D55" ca="1">INDIRECT("T" &amp; D23)</f>
        <v>1.142857142857143</v>
      </c>
      <c r="E55" s="21" t="s">
        <v>92</v>
      </c>
      <c r="AK55" s="28"/>
      <c r="AL55" s="19"/>
      <c r="AN55" s="21"/>
    </row>
    <row r="58" spans="2:40">
      <c r="B58" s="24"/>
      <c r="C58" s="21"/>
    </row>
  </sheetData>
  <mergeCells count="4">
    <mergeCell ref="B14:B15"/>
    <mergeCell ref="J14:J15"/>
    <mergeCell ref="M14:M15"/>
    <mergeCell ref="C25:F25"/>
  </mergeCells>
  <phoneticPr fontId="20" type="noConversion"/>
  <printOptions horizontalCentered="1"/>
  <pageMargins left="0.70866141732283472" right="0.70866141732283472" top="0.74803149606299213" bottom="0.74803149606299213" header="0.31496062992125984" footer="0.31496062992125984"/>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4A60C-654D-458B-946A-23D477676711}">
  <sheetPr codeName="Feuil3"/>
  <dimension ref="A1:P25"/>
  <sheetViews>
    <sheetView zoomScale="85" zoomScaleNormal="85" workbookViewId="0">
      <selection activeCell="J16" sqref="J16"/>
    </sheetView>
  </sheetViews>
  <sheetFormatPr defaultColWidth="11.42578125" defaultRowHeight="14.45"/>
  <sheetData>
    <row r="1" spans="1:16">
      <c r="B1" t="s">
        <v>94</v>
      </c>
      <c r="H1" t="s">
        <v>95</v>
      </c>
    </row>
    <row r="2" spans="1:16">
      <c r="A2">
        <v>1</v>
      </c>
      <c r="B2" t="s">
        <v>96</v>
      </c>
      <c r="G2">
        <v>1</v>
      </c>
      <c r="H2" t="s">
        <v>97</v>
      </c>
    </row>
    <row r="3" spans="1:16">
      <c r="A3">
        <v>2</v>
      </c>
      <c r="B3" t="s">
        <v>98</v>
      </c>
      <c r="C3" s="34"/>
      <c r="G3">
        <v>2</v>
      </c>
      <c r="H3" t="s">
        <v>99</v>
      </c>
    </row>
    <row r="4" spans="1:16">
      <c r="A4">
        <v>3</v>
      </c>
      <c r="B4" t="s">
        <v>100</v>
      </c>
      <c r="C4" s="34"/>
      <c r="G4">
        <v>3</v>
      </c>
      <c r="H4" t="s">
        <v>101</v>
      </c>
    </row>
    <row r="5" spans="1:16">
      <c r="A5">
        <v>4</v>
      </c>
      <c r="B5" t="s">
        <v>102</v>
      </c>
      <c r="G5">
        <v>4</v>
      </c>
      <c r="H5" t="s">
        <v>103</v>
      </c>
    </row>
    <row r="8" spans="1:16">
      <c r="C8" s="54" t="s">
        <v>104</v>
      </c>
      <c r="D8" s="55" t="s">
        <v>105</v>
      </c>
      <c r="E8" s="55"/>
      <c r="F8" s="36" t="s">
        <v>26</v>
      </c>
      <c r="G8" s="1" t="s">
        <v>106</v>
      </c>
      <c r="H8" s="32" t="s">
        <v>107</v>
      </c>
      <c r="I8" s="32" t="s">
        <v>108</v>
      </c>
      <c r="J8" s="52" t="s">
        <v>109</v>
      </c>
      <c r="K8" s="52" t="s">
        <v>110</v>
      </c>
      <c r="L8" s="52" t="s">
        <v>111</v>
      </c>
      <c r="M8" s="47" t="s">
        <v>112</v>
      </c>
      <c r="N8" s="47" t="s">
        <v>33</v>
      </c>
      <c r="O8" s="32" t="s">
        <v>113</v>
      </c>
      <c r="P8" s="1" t="s">
        <v>34</v>
      </c>
    </row>
    <row r="9" spans="1:16">
      <c r="C9" s="54"/>
      <c r="D9" s="3" t="s">
        <v>94</v>
      </c>
      <c r="E9" s="3" t="s">
        <v>95</v>
      </c>
      <c r="F9" s="37" t="s">
        <v>50</v>
      </c>
      <c r="G9" s="4" t="s">
        <v>53</v>
      </c>
      <c r="H9" s="4" t="s">
        <v>53</v>
      </c>
      <c r="I9" s="4" t="s">
        <v>114</v>
      </c>
      <c r="J9" s="53"/>
      <c r="K9" s="53"/>
      <c r="L9" s="53"/>
      <c r="M9" s="48"/>
      <c r="N9" s="48"/>
      <c r="O9" s="4" t="s">
        <v>53</v>
      </c>
      <c r="P9" s="4" t="s">
        <v>53</v>
      </c>
    </row>
    <row r="10" spans="1:16">
      <c r="C10" s="5" t="s">
        <v>58</v>
      </c>
      <c r="D10" s="38">
        <v>1</v>
      </c>
      <c r="E10" s="38">
        <v>1</v>
      </c>
      <c r="F10" s="14">
        <v>0.25</v>
      </c>
      <c r="G10" s="7">
        <v>25</v>
      </c>
      <c r="H10" s="35">
        <f>G10</f>
        <v>25</v>
      </c>
      <c r="I10" s="35">
        <f>IF(D10=2,30,35)</f>
        <v>35</v>
      </c>
      <c r="J10" s="35">
        <f>IF(D10=2,1.35,1.3)</f>
        <v>1.3</v>
      </c>
      <c r="K10" s="35">
        <f>IF(E10=1,1.05,IF(E10=2,1.3-F10/2,IF(E10=3,1.35-F10/2,1)))</f>
        <v>1.05</v>
      </c>
      <c r="L10" s="35">
        <v>1</v>
      </c>
      <c r="M10" s="35">
        <v>1</v>
      </c>
      <c r="N10" s="14">
        <v>1.5</v>
      </c>
      <c r="O10" s="39">
        <f>MIN(G10,H10,I10)/J10/K10</f>
        <v>18.315018315018314</v>
      </c>
      <c r="P10" s="39">
        <f>MIN(M10*L10*O10/N10,M10*H10/N10,M10*I10/N10)</f>
        <v>12.210012210012209</v>
      </c>
    </row>
    <row r="11" spans="1:16">
      <c r="C11" s="5" t="s">
        <v>59</v>
      </c>
      <c r="D11" s="7">
        <v>2</v>
      </c>
      <c r="E11" s="7">
        <v>2</v>
      </c>
      <c r="F11" s="14">
        <v>0.25</v>
      </c>
      <c r="G11" s="7">
        <v>25</v>
      </c>
      <c r="H11" s="35">
        <f t="shared" ref="H11:H13" si="0">G11</f>
        <v>25</v>
      </c>
      <c r="I11" s="35">
        <f>IF(D11=2,30,35)</f>
        <v>30</v>
      </c>
      <c r="J11" s="35">
        <f>IF(D11=2,1.35,1.3)</f>
        <v>1.35</v>
      </c>
      <c r="K11" s="35">
        <f>IF(E11=1,1.05,IF(E11=2,1.3-F11/2,IF(E11=3,1.35-F11/2,1)))</f>
        <v>1.175</v>
      </c>
      <c r="L11" s="35">
        <v>1</v>
      </c>
      <c r="M11" s="35">
        <v>1</v>
      </c>
      <c r="N11" s="14">
        <v>1.5</v>
      </c>
      <c r="O11" s="39">
        <f t="shared" ref="O11:O13" si="1">MIN(G11,H11,I11)/J11/K11</f>
        <v>15.760441292356186</v>
      </c>
      <c r="P11" s="39">
        <f t="shared" ref="P11:P13" si="2">MIN(M11*L11*O11/N11,M11*H11/N11,M11*I11/N11)</f>
        <v>10.506960861570791</v>
      </c>
    </row>
    <row r="12" spans="1:16">
      <c r="C12" s="5" t="s">
        <v>60</v>
      </c>
      <c r="D12" s="7">
        <v>3</v>
      </c>
      <c r="E12" s="7">
        <v>3</v>
      </c>
      <c r="F12" s="14">
        <v>0.25</v>
      </c>
      <c r="G12" s="7">
        <v>25</v>
      </c>
      <c r="H12" s="35">
        <f t="shared" si="0"/>
        <v>25</v>
      </c>
      <c r="I12" s="35">
        <f>IF(D12=2,30,35)</f>
        <v>35</v>
      </c>
      <c r="J12" s="35">
        <f>IF(D12=2,1.35,1.3)</f>
        <v>1.3</v>
      </c>
      <c r="K12" s="35">
        <f>IF(E12=1,1.05,IF(E12=2,1.3-F12/2,IF(E12=3,1.35-F12/2,1)))</f>
        <v>1.2250000000000001</v>
      </c>
      <c r="L12" s="35">
        <v>1</v>
      </c>
      <c r="M12" s="35">
        <v>1</v>
      </c>
      <c r="N12" s="14">
        <v>1.5</v>
      </c>
      <c r="O12" s="39">
        <f t="shared" si="1"/>
        <v>15.698587127158554</v>
      </c>
      <c r="P12" s="39">
        <f t="shared" si="2"/>
        <v>10.465724751439035</v>
      </c>
    </row>
    <row r="13" spans="1:16">
      <c r="C13" s="5" t="s">
        <v>61</v>
      </c>
      <c r="D13" s="7">
        <v>4</v>
      </c>
      <c r="E13" s="7">
        <v>4</v>
      </c>
      <c r="F13" s="14">
        <v>0.25</v>
      </c>
      <c r="G13" s="7">
        <v>35</v>
      </c>
      <c r="H13" s="35">
        <f t="shared" si="0"/>
        <v>35</v>
      </c>
      <c r="I13" s="35">
        <f>IF(D13=2,30,35)</f>
        <v>35</v>
      </c>
      <c r="J13" s="35">
        <f>IF(D13=2,1.35,1.3)</f>
        <v>1.3</v>
      </c>
      <c r="K13" s="35">
        <f>IF(E13=1,1.05,IF(E13=2,1.3-F13/2,IF(E13=3,1.35-F13/2,1)))</f>
        <v>1</v>
      </c>
      <c r="L13" s="35">
        <v>1</v>
      </c>
      <c r="M13" s="35">
        <v>1</v>
      </c>
      <c r="N13" s="14">
        <v>1.5</v>
      </c>
      <c r="O13" s="39">
        <f t="shared" si="1"/>
        <v>26.923076923076923</v>
      </c>
      <c r="P13" s="39">
        <f t="shared" si="2"/>
        <v>17.948717948717949</v>
      </c>
    </row>
    <row r="16" spans="1:16">
      <c r="C16" s="33"/>
      <c r="D16" s="21"/>
      <c r="E16" s="21"/>
    </row>
    <row r="25" spans="3:3">
      <c r="C25" s="21"/>
    </row>
  </sheetData>
  <mergeCells count="7">
    <mergeCell ref="K8:K9"/>
    <mergeCell ref="L8:L9"/>
    <mergeCell ref="M8:M9"/>
    <mergeCell ref="C8:C9"/>
    <mergeCell ref="N8:N9"/>
    <mergeCell ref="D8:E8"/>
    <mergeCell ref="J8:J9"/>
  </mergeCells>
  <phoneticPr fontId="20"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4b34c0b-a238-445f-9e2e-d55fac2c8e2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B6BF639CA98E4480C29BDFD84B8664" ma:contentTypeVersion="13" ma:contentTypeDescription="Crée un document." ma:contentTypeScope="" ma:versionID="c2b8b422b76ad2d62d26c24fd1784aad">
  <xsd:schema xmlns:xsd="http://www.w3.org/2001/XMLSchema" xmlns:xs="http://www.w3.org/2001/XMLSchema" xmlns:p="http://schemas.microsoft.com/office/2006/metadata/properties" xmlns:ns3="d4b34c0b-a238-445f-9e2e-d55fac2c8e27" xmlns:ns4="43bf2ace-90e3-4807-95fd-0160569dbf4d" targetNamespace="http://schemas.microsoft.com/office/2006/metadata/properties" ma:root="true" ma:fieldsID="87b3f7b819caecf7bb71066f40060b00" ns3:_="" ns4:_="">
    <xsd:import namespace="d4b34c0b-a238-445f-9e2e-d55fac2c8e27"/>
    <xsd:import namespace="43bf2ace-90e3-4807-95fd-0160569dbf4d"/>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b34c0b-a238-445f-9e2e-d55fac2c8e27"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f2ace-90e3-4807-95fd-0160569dbf4d" elementFormDefault="qualified">
    <xsd:import namespace="http://schemas.microsoft.com/office/2006/documentManagement/types"/>
    <xsd:import namespace="http://schemas.microsoft.com/office/infopath/2007/PartnerControls"/>
    <xsd:element name="SharedWithUsers" ma:index="14"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Partagé avec détails" ma:internalName="SharedWithDetails" ma:readOnly="true">
      <xsd:simpleType>
        <xsd:restriction base="dms:Note">
          <xsd:maxLength value="255"/>
        </xsd:restriction>
      </xsd:simpleType>
    </xsd:element>
    <xsd:element name="SharingHintHash" ma:index="16"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46D6ED-EB86-4A04-B29F-FA67F152B19D}"/>
</file>

<file path=customXml/itemProps2.xml><?xml version="1.0" encoding="utf-8"?>
<ds:datastoreItem xmlns:ds="http://schemas.openxmlformats.org/officeDocument/2006/customXml" ds:itemID="{40746602-FD2E-424A-A59D-CCABBE0C68C0}"/>
</file>

<file path=customXml/itemProps3.xml><?xml version="1.0" encoding="utf-8"?>
<ds:datastoreItem xmlns:ds="http://schemas.openxmlformats.org/officeDocument/2006/customXml" ds:itemID="{9BCA7CDA-7DA9-4BF6-9F24-0519CC0C02E1}"/>
</file>

<file path=docProps/app.xml><?xml version="1.0" encoding="utf-8"?>
<Properties xmlns="http://schemas.openxmlformats.org/officeDocument/2006/extended-properties" xmlns:vt="http://schemas.openxmlformats.org/officeDocument/2006/docPropsVTypes">
  <Application>Microsoft Excel Online</Application>
  <Manager/>
  <Company>ArteliaGroup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LOYSEL Arthur</dc:creator>
  <cp:keywords/>
  <dc:description/>
  <cp:lastModifiedBy>LOYSEL Arthur</cp:lastModifiedBy>
  <cp:revision/>
  <dcterms:created xsi:type="dcterms:W3CDTF">2024-08-12T13:32:38Z</dcterms:created>
  <dcterms:modified xsi:type="dcterms:W3CDTF">2024-10-25T04:05:01Z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0x01010079B6BF639CA98E4480C29BDFD84B8664</vt:lpwstr>
  </property>
</Properties>
</file>