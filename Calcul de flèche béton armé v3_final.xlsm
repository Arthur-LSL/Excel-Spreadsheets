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Stage_2A\standardisation_artelia\Notice\flèche_nuisible\"/>
    </mc:Choice>
  </mc:AlternateContent>
  <xr:revisionPtr revIDLastSave="2" documentId="13_ncr:1_{6D60F3F9-DF40-4E91-9946-B5815C7A6E0B}" xr6:coauthVersionLast="47" xr6:coauthVersionMax="47" xr10:uidLastSave="{369510AB-5D80-4D9D-96D1-A107FBCD1057}"/>
  <bookViews>
    <workbookView minimized="1" xWindow="384" yWindow="384" windowWidth="17280" windowHeight="10044" firstSheet="2" activeTab="3" xr2:uid="{00000000-000D-0000-FFFF-FFFF00000000}"/>
  </bookViews>
  <sheets>
    <sheet name="Manuel d'utilisation" sheetId="12" r:id="rId1"/>
    <sheet name="Poutre ELU" sheetId="4" r:id="rId2"/>
    <sheet name="Flèche Béton Armé" sheetId="10" r:id="rId3"/>
    <sheet name="Annexe" sheetId="5" r:id="rId4"/>
  </sheets>
  <definedNames>
    <definedName name="Armatures">Annexe!$B$2:$P$25</definedName>
    <definedName name="Diamètre">Annexe!$C$2:$P$2</definedName>
    <definedName name="Nombre">Annexe!$B$4:$B$25</definedName>
    <definedName name="ResistanceBeton">Annexe!$B$30:$P$59</definedName>
    <definedName name="_xlnm.Print_Area" localSheetId="2">'Flèche Béton Armé'!$A$1:$E$49</definedName>
    <definedName name="_xlnm.Print_Area" localSheetId="0">'Manuel d''utilisation'!$A$1:$O$30</definedName>
    <definedName name="_xlnm.Print_Area" localSheetId="1">'Poutre ELU'!$A$1:$G$45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0" l="1"/>
  <c r="B46" i="10"/>
  <c r="B45" i="10"/>
  <c r="X22" i="10" l="1"/>
  <c r="X21" i="10"/>
  <c r="X18" i="10"/>
  <c r="L52" i="4" l="1"/>
  <c r="C20" i="4"/>
  <c r="I14" i="10" l="1"/>
  <c r="L9" i="4" l="1"/>
  <c r="L8" i="4"/>
  <c r="C14" i="10"/>
  <c r="C13" i="10"/>
  <c r="Z5" i="4" l="1"/>
  <c r="C38" i="10" l="1"/>
  <c r="W2" i="10" l="1"/>
  <c r="W3" i="10"/>
  <c r="W4" i="10"/>
  <c r="W1" i="10"/>
  <c r="I60" i="10" l="1"/>
  <c r="I59" i="10"/>
  <c r="Y58" i="10" l="1"/>
  <c r="I43" i="10"/>
  <c r="I56" i="10"/>
  <c r="I55" i="10"/>
  <c r="I54" i="10"/>
  <c r="I51" i="10"/>
  <c r="I50" i="10"/>
  <c r="I49" i="10"/>
  <c r="I8" i="10" s="1"/>
  <c r="I11" i="10" s="1"/>
  <c r="X17" i="10"/>
  <c r="Z14" i="10"/>
  <c r="X13" i="10"/>
  <c r="I25" i="10" l="1"/>
  <c r="Y47" i="10"/>
  <c r="Y48" i="10" s="1"/>
  <c r="Y49" i="10" s="1"/>
  <c r="I12" i="10"/>
  <c r="I9" i="10"/>
  <c r="I10" i="10" s="1"/>
  <c r="I13" i="10" l="1"/>
  <c r="M59" i="5"/>
  <c r="N59" i="5"/>
  <c r="O59" i="5"/>
  <c r="P59" i="5"/>
  <c r="L59" i="5"/>
  <c r="E45" i="5"/>
  <c r="F45" i="5"/>
  <c r="G45" i="5"/>
  <c r="H45" i="5"/>
  <c r="I45" i="5"/>
  <c r="J45" i="5"/>
  <c r="K45" i="5"/>
  <c r="L45" i="5"/>
  <c r="M45" i="5"/>
  <c r="N45" i="5"/>
  <c r="O45" i="5"/>
  <c r="P45" i="5"/>
  <c r="D45" i="5"/>
  <c r="C45" i="5"/>
  <c r="E43" i="5"/>
  <c r="F43" i="5"/>
  <c r="G43" i="5"/>
  <c r="H43" i="5"/>
  <c r="I43" i="5"/>
  <c r="J43" i="5"/>
  <c r="K43" i="5"/>
  <c r="L43" i="5"/>
  <c r="M43" i="5"/>
  <c r="N43" i="5"/>
  <c r="O43" i="5"/>
  <c r="P43" i="5"/>
  <c r="D43" i="5"/>
  <c r="C43" i="5"/>
  <c r="J40" i="5"/>
  <c r="C40" i="5"/>
  <c r="E42" i="5"/>
  <c r="K42" i="5"/>
  <c r="L42" i="5"/>
  <c r="M37" i="5"/>
  <c r="M40" i="5" s="1"/>
  <c r="N37" i="5"/>
  <c r="N42" i="5" s="1"/>
  <c r="O37" i="5"/>
  <c r="O42" i="5" s="1"/>
  <c r="P37" i="5"/>
  <c r="P42" i="5" s="1"/>
  <c r="L37" i="5"/>
  <c r="L40" i="5" s="1"/>
  <c r="C37" i="5"/>
  <c r="C42" i="5" s="1"/>
  <c r="E37" i="5"/>
  <c r="E40" i="5" s="1"/>
  <c r="F37" i="5"/>
  <c r="F42" i="5" s="1"/>
  <c r="G37" i="5"/>
  <c r="G42" i="5" s="1"/>
  <c r="H37" i="5"/>
  <c r="H42" i="5" s="1"/>
  <c r="I37" i="5"/>
  <c r="I42" i="5" s="1"/>
  <c r="J37" i="5"/>
  <c r="J42" i="5" s="1"/>
  <c r="K37" i="5"/>
  <c r="K40" i="5" s="1"/>
  <c r="D37" i="5"/>
  <c r="D42" i="5" s="1"/>
  <c r="D40" i="5" l="1"/>
  <c r="M42" i="5"/>
  <c r="I40" i="5"/>
  <c r="P40" i="5"/>
  <c r="H40" i="5"/>
  <c r="O40" i="5"/>
  <c r="G40" i="5"/>
  <c r="N40" i="5"/>
  <c r="F40" i="5"/>
  <c r="L56" i="4" l="1"/>
  <c r="L58" i="4" s="1"/>
  <c r="P14" i="4" l="1"/>
  <c r="P18" i="4" s="1"/>
  <c r="L21" i="4"/>
  <c r="L7" i="4"/>
  <c r="L53" i="4" s="1"/>
  <c r="L6" i="4"/>
  <c r="L12" i="4" l="1"/>
  <c r="D4" i="5"/>
  <c r="E4" i="5"/>
  <c r="F4" i="5"/>
  <c r="G4" i="5"/>
  <c r="H4" i="5"/>
  <c r="I4" i="5"/>
  <c r="J4" i="5"/>
  <c r="K4" i="5"/>
  <c r="L4" i="5"/>
  <c r="M4" i="5"/>
  <c r="N4" i="5"/>
  <c r="O4" i="5"/>
  <c r="P4" i="5"/>
  <c r="D5" i="5"/>
  <c r="E5" i="5"/>
  <c r="F5" i="5"/>
  <c r="G5" i="5"/>
  <c r="H5" i="5"/>
  <c r="I5" i="5"/>
  <c r="J5" i="5"/>
  <c r="K5" i="5"/>
  <c r="L5" i="5"/>
  <c r="M5" i="5"/>
  <c r="N5" i="5"/>
  <c r="O5" i="5"/>
  <c r="P5" i="5"/>
  <c r="D6" i="5"/>
  <c r="E6" i="5"/>
  <c r="F6" i="5"/>
  <c r="G6" i="5"/>
  <c r="H6" i="5"/>
  <c r="I6" i="5"/>
  <c r="J6" i="5"/>
  <c r="K6" i="5"/>
  <c r="L6" i="5"/>
  <c r="M6" i="5"/>
  <c r="N6" i="5"/>
  <c r="O6" i="5"/>
  <c r="P6" i="5"/>
  <c r="D7" i="5"/>
  <c r="E7" i="5"/>
  <c r="F7" i="5"/>
  <c r="G7" i="5"/>
  <c r="H7" i="5"/>
  <c r="I7" i="5"/>
  <c r="J7" i="5"/>
  <c r="K7" i="5"/>
  <c r="L7" i="5"/>
  <c r="M7" i="5"/>
  <c r="N7" i="5"/>
  <c r="O7" i="5"/>
  <c r="P7" i="5"/>
  <c r="D8" i="5"/>
  <c r="E8" i="5"/>
  <c r="F8" i="5"/>
  <c r="G8" i="5"/>
  <c r="H8" i="5"/>
  <c r="I8" i="5"/>
  <c r="J8" i="5"/>
  <c r="K8" i="5"/>
  <c r="L8" i="5"/>
  <c r="M8" i="5"/>
  <c r="N8" i="5"/>
  <c r="O8" i="5"/>
  <c r="P8" i="5"/>
  <c r="D9" i="5"/>
  <c r="E9" i="5"/>
  <c r="F9" i="5"/>
  <c r="G9" i="5"/>
  <c r="H9" i="5"/>
  <c r="I9" i="5"/>
  <c r="J9" i="5"/>
  <c r="K9" i="5"/>
  <c r="L9" i="5"/>
  <c r="M9" i="5"/>
  <c r="N9" i="5"/>
  <c r="O9" i="5"/>
  <c r="P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4" i="5"/>
  <c r="I64" i="10" l="1"/>
  <c r="I65" i="10" s="1"/>
  <c r="L13" i="4" l="1"/>
  <c r="L14" i="4" s="1"/>
  <c r="K18" i="4" l="1"/>
  <c r="I17" i="4"/>
  <c r="M18" i="4"/>
  <c r="J17" i="4"/>
  <c r="L18" i="4" s="1"/>
  <c r="L20" i="4" l="1"/>
  <c r="K57" i="4" l="1"/>
  <c r="K58" i="4" s="1"/>
  <c r="M58" i="4" s="1"/>
  <c r="J55" i="4"/>
  <c r="J58" i="4"/>
  <c r="I63" i="10"/>
  <c r="I18" i="10" l="1"/>
  <c r="I26" i="10"/>
  <c r="I28" i="10"/>
  <c r="I19" i="10" l="1"/>
  <c r="I20" i="10" s="1"/>
  <c r="I31" i="10"/>
  <c r="I32" i="10" s="1"/>
  <c r="I34" i="10" s="1"/>
  <c r="L55" i="4"/>
  <c r="K54" i="4"/>
  <c r="K55" i="4" s="1"/>
  <c r="M55" i="4" s="1"/>
  <c r="I21" i="10" l="1"/>
  <c r="X39" i="10" s="1"/>
  <c r="C16" i="10"/>
  <c r="Y53" i="10"/>
  <c r="AA53" i="10"/>
  <c r="Y50" i="10"/>
  <c r="AA50" i="10"/>
  <c r="I40" i="10"/>
  <c r="X38" i="10"/>
  <c r="L22" i="4"/>
  <c r="L23" i="4" s="1"/>
  <c r="L24" i="4"/>
  <c r="J31" i="4"/>
  <c r="Y51" i="10" l="1"/>
  <c r="AA51" i="10"/>
  <c r="Y54" i="10"/>
  <c r="I22" i="10"/>
  <c r="I37" i="10" s="1"/>
  <c r="C17" i="10" s="1"/>
  <c r="I41" i="10"/>
  <c r="AA54" i="10"/>
  <c r="C15" i="10"/>
  <c r="L31" i="4"/>
  <c r="L46" i="4" s="1"/>
  <c r="L34" i="4"/>
  <c r="L32" i="4"/>
  <c r="L33" i="4" s="1"/>
  <c r="Y52" i="10" l="1"/>
  <c r="Y55" i="10"/>
  <c r="AA52" i="10"/>
  <c r="AA55" i="10"/>
  <c r="I42" i="10"/>
  <c r="X40" i="10"/>
  <c r="C37" i="10" s="1"/>
  <c r="C40" i="10" s="1"/>
  <c r="L49" i="4"/>
  <c r="Y56" i="10" l="1"/>
  <c r="Y57" i="10" s="1"/>
  <c r="AA56" i="10"/>
  <c r="AA57" i="10" s="1"/>
  <c r="C44" i="10" s="1"/>
  <c r="C48" i="10" s="1"/>
  <c r="L27" i="4"/>
  <c r="L36" i="4"/>
  <c r="L35" i="4" l="1"/>
  <c r="L37" i="4" s="1"/>
  <c r="L38" i="4" s="1"/>
  <c r="L47" i="4"/>
  <c r="L25" i="4" l="1"/>
  <c r="L26" i="4" s="1"/>
  <c r="L28" i="4" s="1"/>
  <c r="L41" i="4" s="1"/>
  <c r="D40" i="4"/>
  <c r="L43" i="4"/>
  <c r="D44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DIB Elias</author>
  </authors>
  <commentList>
    <comment ref="G17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Si rectangulaire b=b0
</t>
        </r>
      </text>
    </comment>
  </commentList>
</comments>
</file>

<file path=xl/sharedStrings.xml><?xml version="1.0" encoding="utf-8"?>
<sst xmlns="http://schemas.openxmlformats.org/spreadsheetml/2006/main" count="452" uniqueCount="310">
  <si>
    <t>Manuel d'utilisation</t>
  </si>
  <si>
    <t xml:space="preserve">Auteur: </t>
  </si>
  <si>
    <t>Elias DIB</t>
  </si>
  <si>
    <t>Ce fichier contient des feuilles de calculs qui sont présentées comme suit:</t>
  </si>
  <si>
    <t>Onglet 1</t>
  </si>
  <si>
    <t>Onglet 2</t>
  </si>
  <si>
    <t>Définition de la géométrie de la poutre et calcul du ferraillage à l'ELU</t>
  </si>
  <si>
    <t>Onglet 3</t>
  </si>
  <si>
    <t>Vérification de la flèche béton armé</t>
  </si>
  <si>
    <t>Onglet 4</t>
  </si>
  <si>
    <t>Tableaux des coefficients extraits de la norme</t>
  </si>
  <si>
    <t>Mode d'utilisation</t>
  </si>
  <si>
    <t>Cette feuille sert à vérifier rapidement les flèches nuisibles d'une poutre à partir de la flèche RDM calculée au préalable.</t>
  </si>
  <si>
    <t>Les données seront à rentrer dans les cases vertes</t>
  </si>
  <si>
    <t>Les cellules en bleu correspondent aux résultats</t>
  </si>
  <si>
    <t>Limites du fichier identifié</t>
  </si>
  <si>
    <t>Traiter uniquement le calcul de flèche d'une poutre rectangulaire et en T</t>
  </si>
  <si>
    <t>les flèches provenant des gradients de déformations imposées (T° retrait ) négligés</t>
  </si>
  <si>
    <t xml:space="preserve"> </t>
  </si>
  <si>
    <t>POUTRE : Dimensionnement ELU</t>
  </si>
  <si>
    <t>FORMULES</t>
  </si>
  <si>
    <t>RÉFÉRENCES</t>
  </si>
  <si>
    <t>COMMENTAIRES</t>
  </si>
  <si>
    <t>Remplir les cellules:</t>
  </si>
  <si>
    <t>Caractéristiques des matériaux</t>
  </si>
  <si>
    <t>Unité</t>
  </si>
  <si>
    <t xml:space="preserve">c = </t>
  </si>
  <si>
    <t>m</t>
  </si>
  <si>
    <r>
      <t>f</t>
    </r>
    <r>
      <rPr>
        <vertAlign val="subscript"/>
        <sz val="10"/>
        <rFont val="Arial"/>
        <family val="2"/>
      </rPr>
      <t xml:space="preserve">cd </t>
    </r>
    <r>
      <rPr>
        <sz val="10"/>
        <rFont val="Arial"/>
        <family val="2"/>
      </rPr>
      <t>=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</si>
  <si>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/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c</t>
    </r>
  </si>
  <si>
    <t>MPa</t>
  </si>
  <si>
    <t>Projet :</t>
  </si>
  <si>
    <t>L15</t>
  </si>
  <si>
    <r>
      <t>f</t>
    </r>
    <r>
      <rPr>
        <vertAlign val="subscript"/>
        <sz val="10"/>
        <rFont val="Arial"/>
        <family val="2"/>
      </rPr>
      <t xml:space="preserve">ctm </t>
    </r>
    <r>
      <rPr>
        <sz val="10"/>
        <rFont val="Arial"/>
        <family val="2"/>
      </rPr>
      <t>=</t>
    </r>
  </si>
  <si>
    <t>EN 1992-1-1 §3.1.2 Tableau 3.1</t>
  </si>
  <si>
    <r>
      <t>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</si>
  <si>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/ </t>
    </r>
    <r>
      <rPr>
        <sz val="10"/>
        <rFont val="Symbol"/>
        <family val="1"/>
        <charset val="2"/>
      </rPr>
      <t>g</t>
    </r>
    <r>
      <rPr>
        <vertAlign val="subscript"/>
        <sz val="10"/>
        <rFont val="Arial"/>
        <family val="2"/>
      </rPr>
      <t>s</t>
    </r>
  </si>
  <si>
    <t>Données</t>
  </si>
  <si>
    <r>
      <t>E</t>
    </r>
    <r>
      <rPr>
        <vertAlign val="subscript"/>
        <sz val="10"/>
        <rFont val="Arial"/>
        <family val="2"/>
      </rPr>
      <t xml:space="preserve">cm </t>
    </r>
    <r>
      <rPr>
        <sz val="10"/>
        <rFont val="Arial"/>
        <family val="2"/>
      </rPr>
      <t>=</t>
    </r>
  </si>
  <si>
    <t>GPa</t>
  </si>
  <si>
    <t>Charges appliquées</t>
  </si>
  <si>
    <r>
      <t>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=</t>
    </r>
  </si>
  <si>
    <t>MN.m</t>
  </si>
  <si>
    <t>Calcul préliminaire si poutre en T</t>
  </si>
  <si>
    <t>Signe de M</t>
  </si>
  <si>
    <t>+</t>
  </si>
  <si>
    <r>
      <t>F</t>
    </r>
    <r>
      <rPr>
        <vertAlign val="subscript"/>
        <sz val="10"/>
        <rFont val="Arial"/>
        <family val="2"/>
      </rPr>
      <t>bc</t>
    </r>
    <r>
      <rPr>
        <sz val="10"/>
        <rFont val="Arial"/>
        <family val="2"/>
      </rPr>
      <t xml:space="preserve"> =</t>
    </r>
  </si>
  <si>
    <r>
      <t>b . 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 f</t>
    </r>
    <r>
      <rPr>
        <vertAlign val="subscript"/>
        <sz val="10"/>
        <rFont val="Arial"/>
        <family val="2"/>
      </rPr>
      <t>cd</t>
    </r>
  </si>
  <si>
    <t>MN</t>
  </si>
  <si>
    <r>
      <t>z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</t>
    </r>
  </si>
  <si>
    <r>
      <t>d - ( 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/ 2 )</t>
    </r>
  </si>
  <si>
    <r>
      <t>M</t>
    </r>
    <r>
      <rPr>
        <vertAlign val="subscript"/>
        <sz val="10"/>
        <rFont val="Arial"/>
        <family val="2"/>
      </rPr>
      <t>TU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</si>
  <si>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rFont val="Arial"/>
        <family val="2"/>
      </rPr>
      <t>bc</t>
    </r>
    <r>
      <rPr>
        <sz val="10"/>
        <rFont val="Arial"/>
        <family val="2"/>
      </rPr>
      <t xml:space="preserve"> . z</t>
    </r>
    <r>
      <rPr>
        <vertAlign val="subscript"/>
        <sz val="10"/>
        <rFont val="Arial"/>
        <family val="2"/>
      </rPr>
      <t>b</t>
    </r>
  </si>
  <si>
    <t>Forme</t>
  </si>
  <si>
    <t>Equivalence</t>
  </si>
  <si>
    <t>Rectangulaire</t>
  </si>
  <si>
    <t>Choix (Rectangulaire = R, en T = T)</t>
  </si>
  <si>
    <t>R</t>
  </si>
  <si>
    <r>
      <t>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</si>
  <si>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t>h =</t>
  </si>
  <si>
    <t>Paramètre des matériaux</t>
  </si>
  <si>
    <t>d =</t>
  </si>
  <si>
    <t>m =</t>
  </si>
  <si>
    <r>
      <t>[ 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 - M</t>
    </r>
    <r>
      <rPr>
        <vertAlign val="subscript"/>
        <sz val="10"/>
        <rFont val="Arial"/>
        <family val="2"/>
      </rPr>
      <t>Tu</t>
    </r>
    <r>
      <rPr>
        <sz val="10"/>
        <rFont val="Arial"/>
        <family val="2"/>
      </rPr>
      <t xml:space="preserve"> (1 -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/ b ) ] / (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. f</t>
    </r>
    <r>
      <rPr>
        <vertAlign val="subscript"/>
        <sz val="10"/>
        <rFont val="Arial"/>
        <family val="2"/>
      </rPr>
      <t>cd</t>
    </r>
    <r>
      <rPr>
        <sz val="10"/>
        <rFont val="Arial"/>
        <family val="2"/>
      </rPr>
      <t xml:space="preserve"> )</t>
    </r>
  </si>
  <si>
    <t>d' =</t>
  </si>
  <si>
    <r>
      <t>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=</t>
    </r>
  </si>
  <si>
    <r>
      <rPr>
        <sz val="9"/>
        <rFont val="Arial"/>
        <family val="2"/>
      </rPr>
      <t>0,392 si f</t>
    </r>
    <r>
      <rPr>
        <vertAlign val="subscript"/>
        <sz val="9"/>
        <rFont val="Arial"/>
        <family val="2"/>
      </rPr>
      <t>yk</t>
    </r>
    <r>
      <rPr>
        <sz val="9"/>
        <rFont val="Arial"/>
        <family val="2"/>
      </rPr>
      <t xml:space="preserve"> = 400 MPa; 0,371 si f</t>
    </r>
    <r>
      <rPr>
        <vertAlign val="subscript"/>
        <sz val="9"/>
        <rFont val="Arial"/>
        <family val="2"/>
      </rPr>
      <t>yk</t>
    </r>
    <r>
      <rPr>
        <sz val="9"/>
        <rFont val="Arial"/>
        <family val="2"/>
      </rPr>
      <t xml:space="preserve"> = 500 MPa</t>
    </r>
  </si>
  <si>
    <t>a =</t>
  </si>
  <si>
    <r>
      <t>1,25 . [ 1 - (1 - 2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1/2</t>
    </r>
    <r>
      <rPr>
        <sz val="10"/>
        <rFont val="Arial"/>
        <family val="2"/>
      </rPr>
      <t xml:space="preserve"> ]</t>
    </r>
  </si>
  <si>
    <t>en T</t>
  </si>
  <si>
    <t>b =</t>
  </si>
  <si>
    <r>
      <t>1 - 0,4</t>
    </r>
    <r>
      <rPr>
        <sz val="10"/>
        <rFont val="Symbol"/>
        <family val="1"/>
        <charset val="2"/>
      </rPr>
      <t>a</t>
    </r>
  </si>
  <si>
    <r>
      <t>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</si>
  <si>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t>Pivot</t>
  </si>
  <si>
    <r>
      <t xml:space="preserve">A si 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 xml:space="preserve"> &lt; 0,0561; B sinon</t>
    </r>
  </si>
  <si>
    <r>
      <t>e</t>
    </r>
    <r>
      <rPr>
        <vertAlign val="subscript"/>
        <sz val="10"/>
        <rFont val="Arial"/>
        <family val="2"/>
      </rPr>
      <t xml:space="preserve">c </t>
    </r>
    <r>
      <rPr>
        <sz val="10"/>
        <rFont val="Arial"/>
        <family val="2"/>
      </rPr>
      <t>=</t>
    </r>
  </si>
  <si>
    <r>
      <t>e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=</t>
    </r>
  </si>
  <si>
    <t>Ds =</t>
  </si>
  <si>
    <r>
      <t>7,276 (</t>
    </r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 xml:space="preserve"> s</t>
    </r>
    <r>
      <rPr>
        <sz val="10"/>
        <rFont val="Arial"/>
        <family val="2"/>
      </rPr>
      <t xml:space="preserve"> - 0,217) si B1 ; 0 MPa si B2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</si>
  <si>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</si>
  <si>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=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</si>
  <si>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 xml:space="preserve"> s </t>
    </r>
    <r>
      <rPr>
        <sz val="10"/>
        <rFont val="Arial"/>
        <family val="2"/>
      </rPr>
      <t xml:space="preserve">si </t>
    </r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 xml:space="preserve"> s</t>
    </r>
    <r>
      <rPr>
        <sz val="10"/>
        <rFont val="Arial"/>
        <family val="2"/>
      </rPr>
      <t xml:space="preserve"> &lt; 2,17 . 10</t>
    </r>
    <r>
      <rPr>
        <vertAlign val="superscript"/>
        <sz val="10"/>
        <rFont val="Arial"/>
        <family val="2"/>
      </rPr>
      <t>-3</t>
    </r>
    <r>
      <rPr>
        <sz val="10"/>
        <rFont val="Arial"/>
        <family val="2"/>
      </rPr>
      <t xml:space="preserve"> ; 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+ </t>
    </r>
    <r>
      <rPr>
        <sz val="10"/>
        <rFont val="Symbol"/>
        <family val="1"/>
        <charset val="2"/>
      </rPr>
      <t>Ds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sinon</t>
    </r>
  </si>
  <si>
    <r>
      <t>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= </t>
    </r>
  </si>
  <si>
    <r>
      <t xml:space="preserve">Diagramme </t>
    </r>
    <r>
      <rPr>
        <sz val="10"/>
        <rFont val="Symbol"/>
        <family val="1"/>
        <charset val="2"/>
      </rPr>
      <t xml:space="preserve">e </t>
    </r>
    <r>
      <rPr>
        <sz val="10"/>
        <rFont val="Arial"/>
        <family val="2"/>
      </rPr>
      <t xml:space="preserve">-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 xml:space="preserve"> de l'acier</t>
    </r>
  </si>
  <si>
    <t>B2</t>
  </si>
  <si>
    <t>Aciers comprimées</t>
  </si>
  <si>
    <t>μ</t>
  </si>
  <si>
    <r>
      <t>μ</t>
    </r>
    <r>
      <rPr>
        <b/>
        <vertAlign val="subscript"/>
        <sz val="10"/>
        <rFont val="Arial"/>
        <family val="2"/>
      </rPr>
      <t>R</t>
    </r>
  </si>
  <si>
    <t>Coefficient de sécurité sur les matériaux</t>
  </si>
  <si>
    <r>
      <t>b</t>
    </r>
    <r>
      <rPr>
        <vertAlign val="subscript"/>
        <sz val="10"/>
        <rFont val="Arial"/>
        <family val="2"/>
      </rPr>
      <t xml:space="preserve">0 </t>
    </r>
    <r>
      <rPr>
        <sz val="10"/>
        <rFont val="Arial"/>
        <family val="2"/>
      </rPr>
      <t>=</t>
    </r>
  </si>
  <si>
    <r>
      <t>b si la poutre est en T,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sinon</t>
    </r>
  </si>
  <si>
    <r>
      <t>g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</si>
  <si>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=</t>
    </r>
  </si>
  <si>
    <r>
      <t>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.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. f</t>
    </r>
    <r>
      <rPr>
        <vertAlign val="subscript"/>
        <sz val="10"/>
        <rFont val="Arial"/>
        <family val="2"/>
      </rPr>
      <t xml:space="preserve">cd </t>
    </r>
  </si>
  <si>
    <r>
      <t>g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=</t>
    </r>
  </si>
  <si>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 xml:space="preserve">' = </t>
    </r>
  </si>
  <si>
    <t>d' / d</t>
  </si>
  <si>
    <t>n =</t>
  </si>
  <si>
    <r>
      <rPr>
        <sz val="10"/>
        <rFont val="Symbol"/>
        <family val="1"/>
        <charset val="2"/>
      </rPr>
      <t>e</t>
    </r>
    <r>
      <rPr>
        <sz val="10"/>
        <rFont val="Arial"/>
        <family val="2"/>
      </rPr>
      <t>'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=</t>
    </r>
  </si>
  <si>
    <r>
      <rPr>
        <sz val="10"/>
        <rFont val="Symbol"/>
        <family val="1"/>
        <charset val="2"/>
      </rPr>
      <t>e</t>
    </r>
    <r>
      <rPr>
        <vertAlign val="subscript"/>
        <sz val="10"/>
        <rFont val="Arial"/>
        <family val="2"/>
      </rPr>
      <t>cu3</t>
    </r>
    <r>
      <rPr>
        <sz val="10"/>
        <rFont val="Arial"/>
        <family val="2"/>
      </rPr>
      <t xml:space="preserve"> . (1 - 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 xml:space="preserve">' / 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)</t>
    </r>
  </si>
  <si>
    <r>
      <t>D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>s =</t>
    </r>
  </si>
  <si>
    <r>
      <t>s</t>
    </r>
    <r>
      <rPr>
        <sz val="10"/>
        <rFont val="Arial"/>
        <family val="2"/>
      </rPr>
      <t>'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=</t>
    </r>
  </si>
  <si>
    <t>Résultats</t>
  </si>
  <si>
    <t>A' =</t>
  </si>
  <si>
    <r>
      <t>( 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- 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) / (( d - d' ) *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)</t>
    </r>
  </si>
  <si>
    <r>
      <t>cm</t>
    </r>
    <r>
      <rPr>
        <vertAlign val="superscript"/>
        <sz val="10"/>
        <rFont val="Arial"/>
        <family val="2"/>
      </rPr>
      <t>2</t>
    </r>
  </si>
  <si>
    <t>Armatures longitudinales</t>
  </si>
  <si>
    <t>A'</t>
  </si>
  <si>
    <t>A' calculé =</t>
  </si>
  <si>
    <t>Section d'acier comprimée</t>
  </si>
  <si>
    <t>poutre rectangulaire ( avec A' = 0 )</t>
  </si>
  <si>
    <t>A' choisie =</t>
  </si>
  <si>
    <t>A =</t>
  </si>
  <si>
    <r>
      <t>[ 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/ ( z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*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) ]</t>
    </r>
  </si>
  <si>
    <t>poutre rectangulaire ( avec A' &gt; 0 )</t>
  </si>
  <si>
    <r>
      <t>[ M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/ ( z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* 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) ] + [ A' .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/ 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]</t>
    </r>
  </si>
  <si>
    <t>A</t>
  </si>
  <si>
    <r>
      <t>A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 xml:space="preserve"> calculé =</t>
    </r>
  </si>
  <si>
    <t>Section d'acier tendue</t>
  </si>
  <si>
    <r>
      <t>A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 xml:space="preserve"> choisie =</t>
    </r>
  </si>
  <si>
    <t>poutre en té ( avec A' = 0 )</t>
  </si>
  <si>
    <r>
      <t>M</t>
    </r>
    <r>
      <rPr>
        <vertAlign val="subscript"/>
        <sz val="10"/>
        <rFont val="Arial"/>
        <family val="2"/>
      </rPr>
      <t>u1</t>
    </r>
    <r>
      <rPr>
        <sz val="10"/>
        <rFont val="Arial"/>
        <family val="2"/>
      </rPr>
      <t xml:space="preserve"> = </t>
    </r>
  </si>
  <si>
    <r>
      <t>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- M</t>
    </r>
    <r>
      <rPr>
        <vertAlign val="subscript"/>
        <sz val="10"/>
        <rFont val="Arial"/>
        <family val="2"/>
      </rPr>
      <t>Tu</t>
    </r>
    <r>
      <rPr>
        <sz val="10"/>
        <rFont val="Arial"/>
        <family val="2"/>
      </rPr>
      <t xml:space="preserve"> . (1 -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/ b)</t>
    </r>
  </si>
  <si>
    <r>
      <t>[ M</t>
    </r>
    <r>
      <rPr>
        <vertAlign val="subscript"/>
        <sz val="10"/>
        <rFont val="Arial"/>
        <family val="2"/>
      </rPr>
      <t>u1</t>
    </r>
    <r>
      <rPr>
        <sz val="10"/>
        <rFont val="Arial"/>
        <family val="2"/>
      </rPr>
      <t xml:space="preserve"> / z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+ [ (b-b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).h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.f</t>
    </r>
    <r>
      <rPr>
        <vertAlign val="subscript"/>
        <sz val="10"/>
        <rFont val="Arial"/>
        <family val="2"/>
      </rPr>
      <t xml:space="preserve">cd </t>
    </r>
    <r>
      <rPr>
        <sz val="10"/>
        <rFont val="Arial"/>
        <family val="2"/>
      </rPr>
      <t xml:space="preserve">] /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s</t>
    </r>
  </si>
  <si>
    <t>poutre en té ( avec A' &gt; 0 )</t>
  </si>
  <si>
    <r>
      <t>[ M</t>
    </r>
    <r>
      <rPr>
        <vertAlign val="subscript"/>
        <sz val="10"/>
        <rFont val="Arial"/>
        <family val="2"/>
      </rPr>
      <t>Ed</t>
    </r>
    <r>
      <rPr>
        <sz val="10"/>
        <rFont val="Arial"/>
        <family val="2"/>
      </rPr>
      <t xml:space="preserve"> / ( z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* 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) ] + [ A' .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/ f</t>
    </r>
    <r>
      <rPr>
        <vertAlign val="subscript"/>
        <sz val="10"/>
        <rFont val="Arial"/>
        <family val="2"/>
      </rPr>
      <t>yd</t>
    </r>
    <r>
      <rPr>
        <sz val="10"/>
        <rFont val="Arial"/>
        <family val="2"/>
      </rPr>
      <t xml:space="preserve"> ]</t>
    </r>
  </si>
  <si>
    <t>Acier minimal et maximal</t>
  </si>
  <si>
    <r>
      <t>A</t>
    </r>
    <r>
      <rPr>
        <vertAlign val="subscript"/>
        <sz val="10"/>
        <rFont val="Arial"/>
        <family val="2"/>
      </rPr>
      <t>s,choisie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</si>
  <si>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0"/>
        <rFont val="Arial"/>
        <family val="2"/>
      </rPr>
      <t xml:space="preserve">s,min </t>
    </r>
    <r>
      <rPr>
        <sz val="10"/>
        <rFont val="Arial"/>
        <family val="2"/>
      </rPr>
      <t>=</t>
    </r>
  </si>
  <si>
    <r>
      <t>max (0,26 . f</t>
    </r>
    <r>
      <rPr>
        <vertAlign val="subscript"/>
        <sz val="10"/>
        <rFont val="Arial"/>
        <family val="2"/>
      </rPr>
      <t>ctm</t>
    </r>
    <r>
      <rPr>
        <sz val="10"/>
        <rFont val="Arial"/>
        <family val="2"/>
      </rPr>
      <t xml:space="preserve"> .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 d / f</t>
    </r>
    <r>
      <rPr>
        <vertAlign val="subscript"/>
        <sz val="10"/>
        <rFont val="Arial"/>
        <family val="2"/>
      </rPr>
      <t>yk</t>
    </r>
    <r>
      <rPr>
        <sz val="10"/>
        <rFont val="Arial"/>
        <family val="2"/>
      </rPr>
      <t xml:space="preserve"> ; 0,0013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 d )</t>
    </r>
  </si>
  <si>
    <r>
      <t>A</t>
    </r>
    <r>
      <rPr>
        <b/>
        <vertAlign val="subscript"/>
        <sz val="10"/>
        <rFont val="Arial"/>
        <family val="2"/>
      </rPr>
      <t>s,choisie</t>
    </r>
    <r>
      <rPr>
        <b/>
        <sz val="10"/>
        <rFont val="Arial"/>
        <family val="2"/>
      </rPr>
      <t xml:space="preserve"> </t>
    </r>
  </si>
  <si>
    <r>
      <t>A</t>
    </r>
    <r>
      <rPr>
        <b/>
        <vertAlign val="subscript"/>
        <sz val="10"/>
        <rFont val="Arial"/>
        <family val="2"/>
      </rPr>
      <t xml:space="preserve">s,min </t>
    </r>
  </si>
  <si>
    <t>EN 1992-1-1 §9.2.1.1</t>
  </si>
  <si>
    <r>
      <t>Bien vérifié que A</t>
    </r>
    <r>
      <rPr>
        <vertAlign val="subscript"/>
        <sz val="10"/>
        <rFont val="Arial"/>
        <family val="2"/>
      </rPr>
      <t xml:space="preserve">s,min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s,choisie</t>
    </r>
    <r>
      <rPr>
        <sz val="10"/>
        <rFont val="Arial"/>
        <family val="2"/>
      </rPr>
      <t xml:space="preserve">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A</t>
    </r>
    <r>
      <rPr>
        <vertAlign val="subscript"/>
        <sz val="10"/>
        <rFont val="Arial"/>
        <family val="2"/>
      </rPr>
      <t>s,max</t>
    </r>
  </si>
  <si>
    <r>
      <t>A</t>
    </r>
    <r>
      <rPr>
        <vertAlign val="subscript"/>
        <sz val="10"/>
        <rFont val="Arial"/>
        <family val="2"/>
      </rPr>
      <t xml:space="preserve">s,max </t>
    </r>
    <r>
      <rPr>
        <sz val="10"/>
        <rFont val="Arial"/>
        <family val="2"/>
      </rPr>
      <t>=</t>
    </r>
  </si>
  <si>
    <r>
      <t>0,04 . A</t>
    </r>
    <r>
      <rPr>
        <vertAlign val="subscript"/>
        <sz val="10"/>
        <rFont val="Arial"/>
        <family val="2"/>
      </rPr>
      <t xml:space="preserve">c </t>
    </r>
  </si>
  <si>
    <r>
      <t>A</t>
    </r>
    <r>
      <rPr>
        <b/>
        <vertAlign val="subscript"/>
        <sz val="10"/>
        <rFont val="Arial"/>
        <family val="2"/>
      </rPr>
      <t xml:space="preserve">s,max </t>
    </r>
  </si>
  <si>
    <r>
      <t>f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=</t>
    </r>
  </si>
  <si>
    <t>cm</t>
  </si>
  <si>
    <t>Calcul de la flèche béton armé</t>
  </si>
  <si>
    <r>
      <t>f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</si>
  <si>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</si>
  <si>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</si>
  <si>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t>Vérification</t>
  </si>
  <si>
    <r>
      <t>f</t>
    </r>
    <r>
      <rPr>
        <vertAlign val="subscript"/>
        <sz val="10"/>
        <rFont val="Arial"/>
        <family val="2"/>
      </rPr>
      <t xml:space="preserve">cm </t>
    </r>
    <r>
      <rPr>
        <sz val="10"/>
        <rFont val="Arial"/>
        <family val="2"/>
      </rPr>
      <t>=</t>
    </r>
  </si>
  <si>
    <r>
      <t>f</t>
    </r>
    <r>
      <rPr>
        <vertAlign val="subscript"/>
        <sz val="10"/>
        <rFont val="Arial"/>
        <family val="2"/>
      </rPr>
      <t>ck</t>
    </r>
    <r>
      <rPr>
        <sz val="10"/>
        <rFont val="Arial"/>
        <family val="2"/>
      </rPr>
      <t xml:space="preserve"> + 8</t>
    </r>
  </si>
  <si>
    <r>
      <t>0,3 . f</t>
    </r>
    <r>
      <rPr>
        <vertAlign val="subscript"/>
        <sz val="10"/>
        <rFont val="Arial"/>
        <family val="2"/>
      </rPr>
      <t>ck</t>
    </r>
    <r>
      <rPr>
        <vertAlign val="superscript"/>
        <sz val="10"/>
        <rFont val="Arial"/>
        <family val="2"/>
      </rPr>
      <t>2/3</t>
    </r>
  </si>
  <si>
    <r>
      <t>f</t>
    </r>
    <r>
      <rPr>
        <vertAlign val="subscript"/>
        <sz val="10"/>
        <rFont val="Arial"/>
        <family val="2"/>
      </rPr>
      <t xml:space="preserve">ctm,fl </t>
    </r>
    <r>
      <rPr>
        <sz val="10"/>
        <rFont val="Arial"/>
        <family val="2"/>
      </rPr>
      <t>=</t>
    </r>
  </si>
  <si>
    <r>
      <t>max [ (1,6 - h) . f</t>
    </r>
    <r>
      <rPr>
        <vertAlign val="subscript"/>
        <sz val="10"/>
        <rFont val="Arial"/>
        <family val="2"/>
      </rPr>
      <t>ctm</t>
    </r>
    <r>
      <rPr>
        <sz val="10"/>
        <rFont val="Arial"/>
        <family val="2"/>
      </rPr>
      <t xml:space="preserve"> ; f</t>
    </r>
    <r>
      <rPr>
        <vertAlign val="subscript"/>
        <sz val="10"/>
        <rFont val="Arial"/>
        <family val="2"/>
      </rPr>
      <t>ctm</t>
    </r>
    <r>
      <rPr>
        <sz val="10"/>
        <rFont val="Arial"/>
        <family val="2"/>
      </rPr>
      <t xml:space="preserve"> ]</t>
    </r>
  </si>
  <si>
    <r>
      <t>M</t>
    </r>
    <r>
      <rPr>
        <vertAlign val="subscript"/>
        <sz val="10"/>
        <rFont val="Arial"/>
        <family val="2"/>
      </rPr>
      <t>service</t>
    </r>
    <r>
      <rPr>
        <sz val="10"/>
        <rFont val="Arial"/>
        <family val="2"/>
      </rPr>
      <t xml:space="preserve"> =</t>
    </r>
  </si>
  <si>
    <r>
      <t>22000 . ( f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/ 10 )</t>
    </r>
    <r>
      <rPr>
        <vertAlign val="superscript"/>
        <sz val="10"/>
        <rFont val="Arial"/>
        <family val="2"/>
      </rPr>
      <t>0,3</t>
    </r>
  </si>
  <si>
    <r>
      <t>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=</t>
    </r>
  </si>
  <si>
    <t>Prendre la valeur du logiciel (ex:Robot)</t>
  </si>
  <si>
    <r>
      <t>E</t>
    </r>
    <r>
      <rPr>
        <vertAlign val="subscript"/>
        <sz val="10"/>
        <rFont val="Arial"/>
        <family val="2"/>
      </rPr>
      <t xml:space="preserve">c,eff </t>
    </r>
    <r>
      <rPr>
        <sz val="10"/>
        <rFont val="Arial"/>
        <family val="2"/>
      </rPr>
      <t>=</t>
    </r>
  </si>
  <si>
    <r>
      <t>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/ [ 1 + φ (∞,t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 ]</t>
    </r>
  </si>
  <si>
    <t>A' choisi =</t>
  </si>
  <si>
    <t>cm²</t>
  </si>
  <si>
    <r>
      <t>a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= </t>
    </r>
  </si>
  <si>
    <r>
      <t>E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/ E</t>
    </r>
    <r>
      <rPr>
        <vertAlign val="subscript"/>
        <sz val="10"/>
        <rFont val="Arial"/>
        <family val="2"/>
      </rPr>
      <t>c,eff</t>
    </r>
  </si>
  <si>
    <t>FD P18-717 §7.2</t>
  </si>
  <si>
    <r>
      <t>A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choisi =</t>
    </r>
  </si>
  <si>
    <t>(prise en compte de la section d'acier)</t>
  </si>
  <si>
    <t>Erobot=</t>
  </si>
  <si>
    <t xml:space="preserve">I non fissurée = </t>
  </si>
  <si>
    <t>cm4</t>
  </si>
  <si>
    <t>Proportion de béton fissuré</t>
  </si>
  <si>
    <t xml:space="preserve">I fissurée = </t>
  </si>
  <si>
    <t>Les limites de la flèche totale sont définies à l'article 7.4.1 (4) selon la NF EN 1992-1-1 - (I)</t>
  </si>
  <si>
    <t>Proportion de béton fissuré =</t>
  </si>
  <si>
    <t>%</t>
  </si>
  <si>
    <t>Section non fissurée</t>
  </si>
  <si>
    <r>
      <t>A</t>
    </r>
    <r>
      <rPr>
        <vertAlign val="subscript"/>
        <sz val="10"/>
        <rFont val="Arial"/>
        <family val="2"/>
      </rPr>
      <t xml:space="preserve">ch </t>
    </r>
    <r>
      <rPr>
        <sz val="10"/>
        <rFont val="Arial"/>
        <family val="2"/>
      </rPr>
      <t>=</t>
    </r>
  </si>
  <si>
    <r>
      <t>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. h + α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. ( A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+ A'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) +  (b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).h</t>
    </r>
    <r>
      <rPr>
        <vertAlign val="subscript"/>
        <sz val="10"/>
        <rFont val="Arial"/>
        <family val="2"/>
      </rPr>
      <t>0</t>
    </r>
  </si>
  <si>
    <r>
      <t>m</t>
    </r>
    <r>
      <rPr>
        <vertAlign val="superscript"/>
        <sz val="10"/>
        <rFont val="Arial"/>
        <family val="2"/>
      </rPr>
      <t>2</t>
    </r>
  </si>
  <si>
    <t>Retrait</t>
  </si>
  <si>
    <t>v' =</t>
  </si>
  <si>
    <r>
      <t>[ (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.h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) / 2 + α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.( A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.d + A'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.d' ) + (b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).h</t>
    </r>
    <r>
      <rPr>
        <vertAlign val="subscript"/>
        <sz val="10"/>
        <rFont val="Arial"/>
        <family val="2"/>
      </rPr>
      <t>0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2] / A</t>
    </r>
    <r>
      <rPr>
        <vertAlign val="subscript"/>
        <sz val="10"/>
        <rFont val="Arial"/>
        <family val="2"/>
      </rPr>
      <t>ch</t>
    </r>
  </si>
  <si>
    <r>
      <t>φ (∞,t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</t>
    </r>
  </si>
  <si>
    <t>v =</t>
  </si>
  <si>
    <t>h - v'</t>
  </si>
  <si>
    <t>RH</t>
  </si>
  <si>
    <r>
      <t>I</t>
    </r>
    <r>
      <rPr>
        <vertAlign val="subscript"/>
        <sz val="10"/>
        <rFont val="Arial"/>
        <family val="2"/>
      </rPr>
      <t xml:space="preserve">ch </t>
    </r>
    <r>
      <rPr>
        <sz val="10"/>
        <rFont val="Arial"/>
        <family val="2"/>
      </rPr>
      <t>=</t>
    </r>
  </si>
  <si>
    <r>
      <t>(b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.h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 / 3 + (b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).h</t>
    </r>
    <r>
      <rPr>
        <vertAlign val="subscript"/>
        <sz val="10"/>
        <rFont val="Arial"/>
        <family val="2"/>
      </rPr>
      <t>0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/ 3] + α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.(A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.d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+A'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.d'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 - A</t>
    </r>
    <r>
      <rPr>
        <vertAlign val="subscript"/>
        <sz val="10"/>
        <rFont val="Arial"/>
        <family val="2"/>
      </rPr>
      <t>ch</t>
    </r>
    <r>
      <rPr>
        <sz val="10"/>
        <rFont val="Arial"/>
        <family val="2"/>
      </rPr>
      <t>.v'</t>
    </r>
    <r>
      <rPr>
        <vertAlign val="superscript"/>
        <sz val="10"/>
        <rFont val="Arial"/>
        <family val="2"/>
      </rPr>
      <t>2</t>
    </r>
  </si>
  <si>
    <r>
      <t>m</t>
    </r>
    <r>
      <rPr>
        <vertAlign val="superscript"/>
        <sz val="10"/>
        <rFont val="Arial"/>
        <family val="2"/>
      </rPr>
      <t>4</t>
    </r>
  </si>
  <si>
    <t>Δt =</t>
  </si>
  <si>
    <t>jours</t>
  </si>
  <si>
    <r>
      <t>M</t>
    </r>
    <r>
      <rPr>
        <vertAlign val="subscript"/>
        <sz val="10"/>
        <rFont val="Arial"/>
        <family val="2"/>
      </rPr>
      <t>cr</t>
    </r>
    <r>
      <rPr>
        <sz val="10"/>
        <rFont val="Arial"/>
        <family val="2"/>
      </rPr>
      <t xml:space="preserve"> =</t>
    </r>
  </si>
  <si>
    <r>
      <t>f</t>
    </r>
    <r>
      <rPr>
        <vertAlign val="subscript"/>
        <sz val="10"/>
        <rFont val="Arial"/>
        <family val="2"/>
      </rPr>
      <t>ctm</t>
    </r>
    <r>
      <rPr>
        <sz val="10"/>
        <rFont val="Arial"/>
        <family val="2"/>
      </rPr>
      <t xml:space="preserve"> . I</t>
    </r>
    <r>
      <rPr>
        <vertAlign val="subscript"/>
        <sz val="10"/>
        <rFont val="Arial"/>
        <family val="2"/>
      </rPr>
      <t>ch</t>
    </r>
    <r>
      <rPr>
        <sz val="10"/>
        <rFont val="Arial"/>
        <family val="2"/>
      </rPr>
      <t xml:space="preserve"> / v</t>
    </r>
  </si>
  <si>
    <t>Portée</t>
  </si>
  <si>
    <t>Section fissurée</t>
  </si>
  <si>
    <t>L =</t>
  </si>
  <si>
    <r>
      <t>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/ 2</t>
    </r>
  </si>
  <si>
    <r>
      <t>T : ( b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).h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+ n.(A + A')</t>
    </r>
  </si>
  <si>
    <t>Flèches instantanées RDM (Robot)</t>
  </si>
  <si>
    <t>Rectangulaire : n.(A + A')</t>
  </si>
  <si>
    <t>c =</t>
  </si>
  <si>
    <r>
      <t>T : - [( b -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).h</t>
    </r>
    <r>
      <rPr>
        <vertAlign val="subscript"/>
        <sz val="10"/>
        <rFont val="Arial"/>
        <family val="2"/>
      </rPr>
      <t>0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2 + n.(A.d + A'.d')]</t>
    </r>
  </si>
  <si>
    <r>
      <t>m</t>
    </r>
    <r>
      <rPr>
        <vertAlign val="superscript"/>
        <sz val="10"/>
        <rFont val="Arial"/>
        <family val="2"/>
      </rPr>
      <t>3</t>
    </r>
  </si>
  <si>
    <t>Rectangulaire : - n.(A.d + A'.d')</t>
  </si>
  <si>
    <t>D =</t>
  </si>
  <si>
    <r>
      <t>b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- 4.a.c</t>
    </r>
  </si>
  <si>
    <t>x =</t>
  </si>
  <si>
    <t>( - b + √D ) / (2.a)</t>
  </si>
  <si>
    <r>
      <t>I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 xml:space="preserve"> =</t>
    </r>
  </si>
  <si>
    <r>
      <t>T : b.x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 3 - (b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 xml:space="preserve"> - b).(x - h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>)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 3 + n.A'(x - d')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 xml:space="preserve"> + n.A(d - x)</t>
    </r>
    <r>
      <rPr>
        <vertAlign val="superscript"/>
        <sz val="9"/>
        <rFont val="Arial"/>
        <family val="2"/>
      </rPr>
      <t>2</t>
    </r>
  </si>
  <si>
    <t>Flèches béton armé</t>
  </si>
  <si>
    <r>
      <t>█ : b</t>
    </r>
    <r>
      <rPr>
        <vertAlign val="subscript"/>
        <sz val="9"/>
        <rFont val="Arial"/>
        <family val="2"/>
      </rPr>
      <t>0</t>
    </r>
    <r>
      <rPr>
        <sz val="9"/>
        <rFont val="Arial"/>
        <family val="2"/>
      </rPr>
      <t>.x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 3 + n.A'(x - d')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 xml:space="preserve"> + n.A(d - x)</t>
    </r>
    <r>
      <rPr>
        <vertAlign val="superscript"/>
        <sz val="9"/>
        <rFont val="Arial"/>
        <family val="2"/>
      </rPr>
      <t>2</t>
    </r>
  </si>
  <si>
    <t>Flèche totale :</t>
  </si>
  <si>
    <t>Pour la flèche nuisible, les limites sont définies à l’article 7.4.1 du fascicule d’application FD P18-717 de l’EC2</t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</si>
  <si>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= </t>
    </r>
  </si>
  <si>
    <t xml:space="preserve">ξ = </t>
  </si>
  <si>
    <r>
      <t>1 -1/2.( M</t>
    </r>
    <r>
      <rPr>
        <vertAlign val="subscript"/>
        <sz val="9"/>
        <rFont val="Arial"/>
        <family val="2"/>
      </rPr>
      <t>cr</t>
    </r>
    <r>
      <rPr>
        <sz val="9"/>
        <rFont val="Arial"/>
        <family val="2"/>
      </rPr>
      <t xml:space="preserve"> / M</t>
    </r>
    <r>
      <rPr>
        <vertAlign val="subscript"/>
        <sz val="9"/>
        <rFont val="Arial"/>
        <family val="2"/>
      </rPr>
      <t xml:space="preserve">ser </t>
    </r>
    <r>
      <rPr>
        <sz val="9"/>
        <rFont val="Arial"/>
        <family val="2"/>
      </rPr>
      <t>)</t>
    </r>
    <r>
      <rPr>
        <vertAlign val="superscript"/>
        <sz val="9"/>
        <rFont val="Arial"/>
        <family val="2"/>
      </rPr>
      <t>2</t>
    </r>
  </si>
  <si>
    <t>EN 1992-1-1 §7.4.3 Expression (7.19)</t>
  </si>
  <si>
    <r>
      <t>f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= L / 250=</t>
    </r>
  </si>
  <si>
    <t>Les calculs de flèches sont normalement réalisés sous combinaison de charges quasi-permanente mais ici les calculs sont sous combinaison caractéristique</t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</si>
  <si>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&lt; f</t>
    </r>
    <r>
      <rPr>
        <vertAlign val="subscript"/>
        <sz val="10"/>
        <rFont val="Arial"/>
        <family val="2"/>
      </rPr>
      <t xml:space="preserve">max </t>
    </r>
    <r>
      <rPr>
        <sz val="10"/>
        <rFont val="Arial"/>
        <family val="2"/>
      </rPr>
      <t>?</t>
    </r>
  </si>
  <si>
    <r>
      <t>f</t>
    </r>
    <r>
      <rPr>
        <vertAlign val="subscript"/>
        <sz val="10"/>
        <rFont val="Arial"/>
        <family val="2"/>
      </rPr>
      <t>ft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</si>
  <si>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p+c+r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c,eff</t>
    </r>
    <r>
      <rPr>
        <sz val="10"/>
        <rFont val="Arial"/>
        <family val="2"/>
      </rPr>
      <t xml:space="preserve"> + M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cf</t>
    </r>
    <r>
      <rPr>
        <sz val="10"/>
        <rFont val="Arial"/>
        <family val="2"/>
      </rPr>
      <t xml:space="preserve"> )</t>
    </r>
  </si>
  <si>
    <t>Poutre isostatique</t>
  </si>
  <si>
    <r>
      <t>f</t>
    </r>
    <r>
      <rPr>
        <vertAlign val="subscript"/>
        <sz val="10"/>
        <rFont val="Arial"/>
        <family val="2"/>
      </rPr>
      <t>ht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</si>
  <si>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p+c+r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c,eff</t>
    </r>
    <r>
      <rPr>
        <sz val="10"/>
        <rFont val="Arial"/>
        <family val="2"/>
      </rPr>
      <t xml:space="preserve"> + M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ch</t>
    </r>
    <r>
      <rPr>
        <sz val="10"/>
        <rFont val="Arial"/>
        <family val="2"/>
      </rPr>
      <t xml:space="preserve"> )</t>
    </r>
  </si>
  <si>
    <t>Flèche nuisible :</t>
  </si>
  <si>
    <t>Poutre en console</t>
  </si>
  <si>
    <r>
      <t>ξ . f</t>
    </r>
    <r>
      <rPr>
        <vertAlign val="subscript"/>
        <sz val="10"/>
        <rFont val="Arial"/>
        <family val="2"/>
      </rPr>
      <t>ft</t>
    </r>
    <r>
      <rPr>
        <sz val="10"/>
        <rFont val="Arial"/>
        <family val="2"/>
      </rPr>
      <t xml:space="preserve"> + (1 - ξ ) . f</t>
    </r>
    <r>
      <rPr>
        <vertAlign val="subscript"/>
        <sz val="10"/>
        <rFont val="Arial"/>
        <family val="2"/>
      </rPr>
      <t>ht</t>
    </r>
  </si>
  <si>
    <t>EN 1992-1-1 §7.4.3 Expression (7.18)</t>
  </si>
  <si>
    <t>Schéma statique :</t>
  </si>
  <si>
    <r>
      <t>f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=</t>
    </r>
  </si>
  <si>
    <t>L / 250</t>
  </si>
  <si>
    <t>EN 1992-1-1 §7.4.1 (4)</t>
  </si>
  <si>
    <r>
      <t>f</t>
    </r>
    <r>
      <rPr>
        <vertAlign val="subscript"/>
        <sz val="10"/>
        <rFont val="Arial"/>
        <family val="2"/>
      </rPr>
      <t>nu</t>
    </r>
    <r>
      <rPr>
        <sz val="10"/>
        <rFont val="Arial"/>
        <family val="2"/>
      </rPr>
      <t xml:space="preserve"> = </t>
    </r>
  </si>
  <si>
    <t>Autre formule de flèches nuisible non pris en compte dans cette feuille</t>
  </si>
  <si>
    <t>Flèche nuisible</t>
  </si>
  <si>
    <r>
      <t>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 </t>
    </r>
  </si>
  <si>
    <r>
      <t>2 . A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/ u</t>
    </r>
  </si>
  <si>
    <t>mm</t>
  </si>
  <si>
    <r>
      <t>f</t>
    </r>
    <r>
      <rPr>
        <vertAlign val="subscript"/>
        <sz val="10"/>
        <rFont val="Arial"/>
        <family val="2"/>
      </rPr>
      <t>nu</t>
    </r>
    <r>
      <rPr>
        <sz val="10"/>
        <rFont val="Arial"/>
        <family val="2"/>
      </rPr>
      <t xml:space="preserve"> &lt; f</t>
    </r>
    <r>
      <rPr>
        <vertAlign val="subscript"/>
        <sz val="10"/>
        <rFont val="Arial"/>
        <family val="2"/>
      </rPr>
      <t xml:space="preserve">adm </t>
    </r>
    <r>
      <rPr>
        <sz val="10"/>
        <rFont val="Arial"/>
        <family val="2"/>
      </rPr>
      <t>?</t>
    </r>
  </si>
  <si>
    <r>
      <t>β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=</t>
    </r>
  </si>
  <si>
    <r>
      <t>1,5.[1+(0,012.RH)</t>
    </r>
    <r>
      <rPr>
        <vertAlign val="superscript"/>
        <sz val="10"/>
        <rFont val="Arial"/>
        <family val="2"/>
      </rPr>
      <t>18</t>
    </r>
    <r>
      <rPr>
        <sz val="10"/>
        <rFont val="Arial"/>
        <family val="2"/>
      </rPr>
      <t>].h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+250 &lt; 1500</t>
    </r>
  </si>
  <si>
    <r>
      <t>ψ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</si>
  <si>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 xml:space="preserve">[ Δt / ( Δt + </t>
    </r>
    <r>
      <rPr>
        <sz val="10"/>
        <rFont val="Calibri"/>
        <family val="2"/>
      </rPr>
      <t>β</t>
    </r>
    <r>
      <rPr>
        <vertAlign val="subscript"/>
        <sz val="10"/>
        <rFont val="Arial"/>
        <family val="2"/>
      </rPr>
      <t xml:space="preserve">H </t>
    </r>
    <r>
      <rPr>
        <sz val="10"/>
        <rFont val="Arial"/>
        <family val="2"/>
      </rPr>
      <t xml:space="preserve">) ] </t>
    </r>
    <r>
      <rPr>
        <vertAlign val="superscript"/>
        <sz val="10"/>
        <rFont val="Arial"/>
        <family val="2"/>
      </rPr>
      <t>0,3</t>
    </r>
  </si>
  <si>
    <r>
      <t>f</t>
    </r>
    <r>
      <rPr>
        <vertAlign val="subscript"/>
        <sz val="10"/>
        <rFont val="Arial"/>
        <family val="2"/>
      </rPr>
      <t>fdip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</si>
  <si>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p+c</t>
    </r>
    <r>
      <rPr>
        <sz val="10"/>
        <rFont val="Arial"/>
        <family val="2"/>
      </rPr>
      <t xml:space="preserve"> / </t>
    </r>
    <r>
      <rPr>
        <sz val="10"/>
        <rFont val="Arial"/>
        <family val="2"/>
      </rPr>
      <t>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cf</t>
    </r>
    <r>
      <rPr>
        <sz val="10"/>
        <rFont val="Arial"/>
        <family val="2"/>
      </rPr>
      <t xml:space="preserve"> )</t>
    </r>
  </si>
  <si>
    <t>Diagramme e - s de l'acier</t>
  </si>
  <si>
    <r>
      <t>f</t>
    </r>
    <r>
      <rPr>
        <vertAlign val="subscript"/>
        <sz val="10"/>
        <rFont val="Arial"/>
        <family val="2"/>
      </rPr>
      <t>hdip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</si>
  <si>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p+c</t>
    </r>
    <r>
      <rPr>
        <sz val="10"/>
        <rFont val="Arial"/>
        <family val="2"/>
      </rPr>
      <t xml:space="preserve"> / 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ch</t>
    </r>
    <r>
      <rPr>
        <sz val="10"/>
        <rFont val="Arial"/>
        <family val="2"/>
      </rPr>
      <t xml:space="preserve"> )</t>
    </r>
  </si>
  <si>
    <r>
      <t>f</t>
    </r>
    <r>
      <rPr>
        <vertAlign val="subscript"/>
        <sz val="10"/>
        <rFont val="Arial"/>
        <family val="2"/>
      </rPr>
      <t>dip</t>
    </r>
    <r>
      <rPr>
        <sz val="10"/>
        <rFont val="Arial"/>
        <family val="2"/>
      </rPr>
      <t xml:space="preserve"> = </t>
    </r>
  </si>
  <si>
    <r>
      <rPr>
        <sz val="10"/>
        <rFont val="Calibri"/>
        <family val="2"/>
      </rPr>
      <t>ξ</t>
    </r>
    <r>
      <rPr>
        <sz val="10"/>
        <rFont val="Arial"/>
        <family val="2"/>
      </rPr>
      <t xml:space="preserve"> . f</t>
    </r>
    <r>
      <rPr>
        <vertAlign val="subscript"/>
        <sz val="10"/>
        <rFont val="Arial"/>
        <family val="2"/>
      </rPr>
      <t>fdip</t>
    </r>
    <r>
      <rPr>
        <sz val="10"/>
        <rFont val="Arial"/>
        <family val="2"/>
      </rPr>
      <t xml:space="preserve"> + (1 - </t>
    </r>
    <r>
      <rPr>
        <sz val="10"/>
        <rFont val="Calibri"/>
        <family val="2"/>
      </rPr>
      <t>ξ</t>
    </r>
    <r>
      <rPr>
        <sz val="10"/>
        <rFont val="Arial"/>
        <family val="2"/>
      </rPr>
      <t xml:space="preserve"> ) . Fhdip</t>
    </r>
  </si>
  <si>
    <r>
      <t>f</t>
    </r>
    <r>
      <rPr>
        <vertAlign val="subscript"/>
        <sz val="10"/>
        <rFont val="Arial"/>
        <family val="2"/>
      </rPr>
      <t>fdvp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</si>
  <si>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c,eff</t>
    </r>
    <r>
      <rPr>
        <sz val="10"/>
        <rFont val="Arial"/>
        <family val="2"/>
      </rPr>
      <t xml:space="preserve"> + M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cf</t>
    </r>
    <r>
      <rPr>
        <sz val="10"/>
        <rFont val="Arial"/>
        <family val="2"/>
      </rPr>
      <t xml:space="preserve"> )</t>
    </r>
  </si>
  <si>
    <r>
      <t>f</t>
    </r>
    <r>
      <rPr>
        <vertAlign val="subscript"/>
        <sz val="10"/>
        <rFont val="Arial"/>
        <family val="2"/>
      </rPr>
      <t>hdvp</t>
    </r>
    <r>
      <rPr>
        <sz val="10"/>
        <rFont val="Arial"/>
        <family val="2"/>
      </rPr>
      <t xml:space="preserve"> =</t>
    </r>
  </si>
  <si>
    <r>
      <t>[M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c,eff</t>
    </r>
    <r>
      <rPr>
        <sz val="10"/>
        <rFont val="Arial"/>
        <family val="2"/>
      </rPr>
      <t xml:space="preserve"> + M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/E</t>
    </r>
    <r>
      <rPr>
        <vertAlign val="subscript"/>
        <sz val="10"/>
        <rFont val="Arial"/>
        <family val="2"/>
      </rPr>
      <t>cm</t>
    </r>
    <r>
      <rPr>
        <sz val="10"/>
        <rFont val="Arial"/>
        <family val="2"/>
      </rPr>
      <t xml:space="preserve"> ] . L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/ (10 . I</t>
    </r>
    <r>
      <rPr>
        <vertAlign val="subscript"/>
        <sz val="10"/>
        <rFont val="Arial"/>
        <family val="2"/>
      </rPr>
      <t>ch</t>
    </r>
    <r>
      <rPr>
        <sz val="10"/>
        <rFont val="Arial"/>
        <family val="2"/>
      </rPr>
      <t xml:space="preserve"> )</t>
    </r>
  </si>
  <si>
    <r>
      <t>f</t>
    </r>
    <r>
      <rPr>
        <vertAlign val="subscript"/>
        <sz val="10"/>
        <rFont val="Arial"/>
        <family val="2"/>
      </rPr>
      <t>dvp</t>
    </r>
    <r>
      <rPr>
        <sz val="10"/>
        <rFont val="Arial"/>
        <family val="2"/>
      </rPr>
      <t xml:space="preserve"> = </t>
    </r>
  </si>
  <si>
    <r>
      <rPr>
        <sz val="10"/>
        <rFont val="Calibri"/>
        <family val="2"/>
      </rPr>
      <t>ξ</t>
    </r>
    <r>
      <rPr>
        <sz val="10"/>
        <rFont val="Arial"/>
        <family val="2"/>
      </rPr>
      <t xml:space="preserve"> . fdvp + (1 - </t>
    </r>
    <r>
      <rPr>
        <sz val="10"/>
        <rFont val="Calibri"/>
        <family val="2"/>
      </rPr>
      <t>ξ</t>
    </r>
    <r>
      <rPr>
        <sz val="10"/>
        <rFont val="Arial"/>
        <family val="2"/>
      </rPr>
      <t xml:space="preserve"> ) . Fhdvp</t>
    </r>
  </si>
  <si>
    <r>
      <t>f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= </t>
    </r>
  </si>
  <si>
    <r>
      <t>f</t>
    </r>
    <r>
      <rPr>
        <vertAlign val="subscript"/>
        <sz val="10"/>
        <rFont val="Arial"/>
        <family val="2"/>
      </rPr>
      <t>dip</t>
    </r>
    <r>
      <rPr>
        <sz val="10"/>
        <rFont val="Arial"/>
        <family val="2"/>
      </rPr>
      <t xml:space="preserve"> + ψ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, ( f</t>
    </r>
    <r>
      <rPr>
        <vertAlign val="subscript"/>
        <sz val="10"/>
        <rFont val="Arial"/>
        <family val="2"/>
      </rPr>
      <t>dvp</t>
    </r>
    <r>
      <rPr>
        <sz val="10"/>
        <rFont val="Arial"/>
        <family val="2"/>
      </rPr>
      <t xml:space="preserve"> - f</t>
    </r>
    <r>
      <rPr>
        <vertAlign val="subscript"/>
        <sz val="10"/>
        <rFont val="Arial"/>
        <family val="2"/>
      </rPr>
      <t>dip</t>
    </r>
    <r>
      <rPr>
        <sz val="10"/>
        <rFont val="Arial"/>
        <family val="2"/>
      </rPr>
      <t xml:space="preserve"> )</t>
    </r>
  </si>
  <si>
    <t>Armatures</t>
  </si>
  <si>
    <r>
      <t>f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- f</t>
    </r>
    <r>
      <rPr>
        <vertAlign val="subscript"/>
        <sz val="10"/>
        <rFont val="Arial"/>
        <family val="2"/>
      </rPr>
      <t>d</t>
    </r>
  </si>
  <si>
    <t>Calcul des centres de gravités des armatures</t>
  </si>
  <si>
    <r>
      <t>f</t>
    </r>
    <r>
      <rPr>
        <vertAlign val="subscript"/>
        <sz val="10"/>
        <rFont val="Arial"/>
        <family val="2"/>
      </rPr>
      <t>adm</t>
    </r>
    <r>
      <rPr>
        <sz val="10"/>
        <rFont val="Arial"/>
        <family val="2"/>
      </rPr>
      <t xml:space="preserve"> =</t>
    </r>
  </si>
  <si>
    <t>L / 500</t>
  </si>
  <si>
    <r>
      <t xml:space="preserve">d </t>
    </r>
    <r>
      <rPr>
        <vertAlign val="subscript"/>
        <sz val="10"/>
        <rFont val="Arial"/>
        <family val="2"/>
      </rPr>
      <t>réel</t>
    </r>
    <r>
      <rPr>
        <sz val="10"/>
        <rFont val="Arial"/>
        <family val="2"/>
      </rPr>
      <t xml:space="preserve"> =</t>
    </r>
  </si>
  <si>
    <r>
      <t xml:space="preserve">d' </t>
    </r>
    <r>
      <rPr>
        <vertAlign val="subscript"/>
        <sz val="10"/>
        <rFont val="Arial"/>
        <family val="2"/>
      </rPr>
      <t>réel</t>
    </r>
    <r>
      <rPr>
        <sz val="10"/>
        <rFont val="Arial"/>
        <family val="2"/>
      </rPr>
      <t xml:space="preserve"> =</t>
    </r>
  </si>
  <si>
    <t>Sections d'acier</t>
  </si>
  <si>
    <r>
      <t>A</t>
    </r>
    <r>
      <rPr>
        <vertAlign val="subscript"/>
        <sz val="10"/>
        <rFont val="Arial"/>
        <family val="2"/>
      </rPr>
      <t>choisie</t>
    </r>
    <r>
      <rPr>
        <sz val="10"/>
        <rFont val="Arial"/>
        <family val="2"/>
      </rPr>
      <t xml:space="preserve"> =</t>
    </r>
  </si>
  <si>
    <r>
      <t>A'</t>
    </r>
    <r>
      <rPr>
        <vertAlign val="subscript"/>
        <sz val="10"/>
        <rFont val="Arial"/>
        <family val="2"/>
      </rPr>
      <t>choisie</t>
    </r>
    <r>
      <rPr>
        <sz val="10"/>
        <rFont val="Arial"/>
        <family val="2"/>
      </rPr>
      <t xml:space="preserve"> =</t>
    </r>
  </si>
  <si>
    <r>
      <t>A'</t>
    </r>
    <r>
      <rPr>
        <vertAlign val="subscript"/>
        <sz val="10"/>
        <rFont val="Arial"/>
        <family val="2"/>
      </rPr>
      <t>calcul</t>
    </r>
    <r>
      <rPr>
        <sz val="10"/>
        <rFont val="Arial"/>
        <family val="2"/>
      </rPr>
      <t xml:space="preserve"> = A'</t>
    </r>
    <r>
      <rPr>
        <vertAlign val="subscript"/>
        <sz val="10"/>
        <rFont val="Arial"/>
        <family val="2"/>
      </rPr>
      <t>choisie</t>
    </r>
    <r>
      <rPr>
        <sz val="10"/>
        <rFont val="Arial"/>
        <family val="2"/>
      </rPr>
      <t xml:space="preserve"> ou 0 cm</t>
    </r>
    <r>
      <rPr>
        <vertAlign val="superscript"/>
        <sz val="10"/>
        <rFont val="Arial"/>
        <family val="2"/>
      </rPr>
      <t>2</t>
    </r>
  </si>
  <si>
    <t>Diamètre</t>
  </si>
  <si>
    <t>Nombre</t>
  </si>
  <si>
    <t>Expression analytique</t>
  </si>
  <si>
    <t>Classes de résistance du béton</t>
  </si>
  <si>
    <t>Commentaires</t>
  </si>
  <si>
    <r>
      <t>f</t>
    </r>
    <r>
      <rPr>
        <sz val="8"/>
        <rFont val="Arial"/>
        <family val="2"/>
      </rPr>
      <t>ck</t>
    </r>
  </si>
  <si>
    <t>(MPa)</t>
  </si>
  <si>
    <r>
      <t>f</t>
    </r>
    <r>
      <rPr>
        <sz val="6.5"/>
        <rFont val="Arial"/>
        <family val="2"/>
      </rPr>
      <t>ck,cube</t>
    </r>
  </si>
  <si>
    <r>
      <t>f</t>
    </r>
    <r>
      <rPr>
        <sz val="8"/>
        <rFont val="Arial"/>
        <family val="2"/>
      </rPr>
      <t>cm</t>
    </r>
  </si>
  <si>
    <r>
      <t>f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 xml:space="preserve"> </t>
    </r>
    <r>
      <rPr>
        <i/>
        <sz val="8"/>
        <rFont val="Arial"/>
        <family val="2"/>
      </rPr>
      <t>= 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+8 (MPa)</t>
    </r>
  </si>
  <si>
    <r>
      <t>f</t>
    </r>
    <r>
      <rPr>
        <sz val="8"/>
        <rFont val="Arial"/>
        <family val="2"/>
      </rPr>
      <t>ctm</t>
    </r>
  </si>
  <si>
    <r>
      <t>f</t>
    </r>
    <r>
      <rPr>
        <vertAlign val="subscript"/>
        <sz val="8"/>
        <rFont val="Arial"/>
        <family val="2"/>
      </rPr>
      <t>ctm</t>
    </r>
    <r>
      <rPr>
        <i/>
        <sz val="8"/>
        <rFont val="Arial"/>
        <family val="2"/>
      </rPr>
      <t>=</t>
    </r>
    <r>
      <rPr>
        <sz val="8"/>
        <rFont val="Arial"/>
        <family val="2"/>
      </rPr>
      <t>0,30</t>
    </r>
    <r>
      <rPr>
        <sz val="8"/>
        <rFont val="Symbol"/>
        <family val="1"/>
        <charset val="2"/>
      </rPr>
      <t>´(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)^2/3</t>
    </r>
    <r>
      <rPr>
        <sz val="8"/>
        <rFont val="Symbol"/>
        <family val="1"/>
        <charset val="2"/>
      </rPr>
      <t>£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C50/60</t>
    </r>
  </si>
  <si>
    <t>(2/3)</t>
  </si>
  <si>
    <r>
      <t>f</t>
    </r>
    <r>
      <rPr>
        <vertAlign val="subscript"/>
        <sz val="8"/>
        <rFont val="Arial"/>
        <family val="2"/>
      </rPr>
      <t>ctm</t>
    </r>
    <r>
      <rPr>
        <i/>
        <sz val="8"/>
        <rFont val="Arial"/>
        <family val="2"/>
      </rPr>
      <t>=</t>
    </r>
    <r>
      <rPr>
        <sz val="8"/>
        <rFont val="Arial"/>
        <family val="2"/>
      </rPr>
      <t>2,12·In(1+(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cm</t>
    </r>
    <r>
      <rPr>
        <i/>
        <sz val="8"/>
        <rFont val="Arial"/>
        <family val="2"/>
      </rPr>
      <t>/</t>
    </r>
    <r>
      <rPr>
        <sz val="8"/>
        <rFont val="Arial"/>
        <family val="2"/>
      </rPr>
      <t>10))</t>
    </r>
  </si>
  <si>
    <t>&gt; C50/60</t>
  </si>
  <si>
    <r>
      <t>f</t>
    </r>
    <r>
      <rPr>
        <sz val="8"/>
        <rFont val="Arial"/>
        <family val="2"/>
      </rPr>
      <t>ctk, 0,05</t>
    </r>
  </si>
  <si>
    <r>
      <t>f</t>
    </r>
    <r>
      <rPr>
        <sz val="5"/>
        <rFont val="Arial"/>
        <family val="2"/>
      </rPr>
      <t xml:space="preserve">ctk;0,05 </t>
    </r>
    <r>
      <rPr>
        <i/>
        <sz val="8"/>
        <rFont val="Arial"/>
        <family val="2"/>
      </rPr>
      <t xml:space="preserve">= </t>
    </r>
    <r>
      <rPr>
        <sz val="8"/>
        <rFont val="Arial"/>
        <family val="2"/>
      </rPr>
      <t>0,7</t>
    </r>
    <r>
      <rPr>
        <sz val="8"/>
        <rFont val="Symbol"/>
        <family val="1"/>
        <charset val="2"/>
      </rPr>
      <t>´</t>
    </r>
    <r>
      <rPr>
        <i/>
        <sz val="8"/>
        <rFont val="Arial"/>
        <family val="2"/>
      </rPr>
      <t>f</t>
    </r>
    <r>
      <rPr>
        <sz val="5"/>
        <rFont val="Arial"/>
        <family val="2"/>
      </rPr>
      <t xml:space="preserve">ctm </t>
    </r>
    <r>
      <rPr>
        <sz val="8"/>
        <rFont val="Arial"/>
        <family val="2"/>
      </rPr>
      <t>fractile 5%</t>
    </r>
  </si>
  <si>
    <r>
      <t>f</t>
    </r>
    <r>
      <rPr>
        <i/>
        <sz val="8"/>
        <rFont val="Arial"/>
        <family val="2"/>
      </rPr>
      <t xml:space="preserve">ctk,0,95 </t>
    </r>
    <r>
      <rPr>
        <i/>
        <sz val="12"/>
        <rFont val="Arial"/>
        <family val="2"/>
      </rPr>
      <t>(MPa)</t>
    </r>
  </si>
  <si>
    <r>
      <t>f</t>
    </r>
    <r>
      <rPr>
        <sz val="5"/>
        <rFont val="Arial"/>
        <family val="2"/>
      </rPr>
      <t xml:space="preserve">ctk;0,95 </t>
    </r>
    <r>
      <rPr>
        <i/>
        <sz val="8"/>
        <rFont val="Arial"/>
        <family val="2"/>
      </rPr>
      <t xml:space="preserve">= </t>
    </r>
    <r>
      <rPr>
        <sz val="8"/>
        <rFont val="Arial"/>
        <family val="2"/>
      </rPr>
      <t>1,3</t>
    </r>
    <r>
      <rPr>
        <sz val="8"/>
        <rFont val="Symbol"/>
        <family val="1"/>
        <charset val="2"/>
      </rPr>
      <t>´</t>
    </r>
    <r>
      <rPr>
        <i/>
        <sz val="8"/>
        <rFont val="Arial"/>
        <family val="2"/>
      </rPr>
      <t>f</t>
    </r>
    <r>
      <rPr>
        <sz val="5"/>
        <rFont val="Arial"/>
        <family val="2"/>
      </rPr>
      <t xml:space="preserve">ctm </t>
    </r>
    <r>
      <rPr>
        <sz val="8"/>
        <rFont val="Arial"/>
        <family val="2"/>
      </rPr>
      <t>fractile 95%</t>
    </r>
  </si>
  <si>
    <r>
      <t>E</t>
    </r>
    <r>
      <rPr>
        <sz val="8"/>
        <rFont val="Arial"/>
        <family val="2"/>
      </rPr>
      <t>cm</t>
    </r>
  </si>
  <si>
    <r>
      <t>E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 xml:space="preserve"> = 22[(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>)/10]</t>
    </r>
    <r>
      <rPr>
        <vertAlign val="superscript"/>
        <sz val="8"/>
        <rFont val="Arial"/>
        <family val="2"/>
      </rPr>
      <t>0,3</t>
    </r>
    <r>
      <rPr>
        <sz val="8"/>
        <rFont val="Arial"/>
        <family val="2"/>
      </rPr>
      <t xml:space="preserve"> 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 xml:space="preserve"> en MPa)</t>
    </r>
  </si>
  <si>
    <t>(GPa )</t>
  </si>
  <si>
    <r>
      <t>e</t>
    </r>
    <r>
      <rPr>
        <vertAlign val="subscript"/>
        <sz val="12.5"/>
        <rFont val="Arial"/>
        <family val="2"/>
      </rPr>
      <t>c1</t>
    </r>
    <r>
      <rPr>
        <sz val="12.5"/>
        <rFont val="Arial"/>
        <family val="2"/>
      </rPr>
      <t xml:space="preserve"> </t>
    </r>
    <r>
      <rPr>
        <sz val="12"/>
        <rFont val="Arial"/>
        <family val="2"/>
      </rPr>
      <t>(‰)</t>
    </r>
  </si>
  <si>
    <t>voir Figure 3.2</t>
  </si>
  <si>
    <r>
      <t>e</t>
    </r>
    <r>
      <rPr>
        <vertAlign val="subscript"/>
        <sz val="8.5"/>
        <rFont val="Arial"/>
        <family val="2"/>
      </rPr>
      <t>c1</t>
    </r>
    <r>
      <rPr>
        <sz val="8.5"/>
        <rFont val="Arial"/>
        <family val="2"/>
      </rPr>
      <t xml:space="preserve"> </t>
    </r>
    <r>
      <rPr>
        <sz val="8"/>
        <rFont val="Arial"/>
        <family val="2"/>
      </rP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/</t>
    </r>
    <r>
      <rPr>
        <vertAlign val="subscript"/>
        <sz val="8"/>
        <rFont val="Arial"/>
        <family val="2"/>
      </rPr>
      <t>00</t>
    </r>
    <r>
      <rPr>
        <sz val="8"/>
        <rFont val="Arial"/>
        <family val="2"/>
      </rPr>
      <t xml:space="preserve">) = 0,7 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cm</t>
    </r>
    <r>
      <rPr>
        <vertAlign val="superscript"/>
        <sz val="8"/>
        <rFont val="Arial"/>
        <family val="2"/>
      </rPr>
      <t>0,31</t>
    </r>
    <r>
      <rPr>
        <sz val="8"/>
        <rFont val="Arial"/>
        <family val="2"/>
      </rPr>
      <t xml:space="preserve"> &lt; 2.8</t>
    </r>
  </si>
  <si>
    <r>
      <t>e</t>
    </r>
    <r>
      <rPr>
        <sz val="8"/>
        <rFont val="Arial"/>
        <family val="2"/>
      </rPr>
      <t>cu1</t>
    </r>
  </si>
  <si>
    <r>
      <t xml:space="preserve">voir Figure 3.2 pour 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 xml:space="preserve"> </t>
    </r>
    <r>
      <rPr>
        <sz val="8"/>
        <rFont val="Symbol"/>
        <family val="1"/>
        <charset val="2"/>
      </rPr>
      <t>³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50 MPa</t>
    </r>
  </si>
  <si>
    <t>(‰)</t>
  </si>
  <si>
    <r>
      <t>e</t>
    </r>
    <r>
      <rPr>
        <vertAlign val="subscript"/>
        <sz val="8.5"/>
        <rFont val="Arial"/>
        <family val="2"/>
      </rPr>
      <t>cu1</t>
    </r>
    <r>
      <rPr>
        <sz val="8"/>
        <rFont val="Arial"/>
        <family val="2"/>
      </rP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/</t>
    </r>
    <r>
      <rPr>
        <vertAlign val="subscript"/>
        <sz val="8"/>
        <rFont val="Arial"/>
        <family val="2"/>
      </rPr>
      <t>00</t>
    </r>
    <r>
      <rPr>
        <sz val="8"/>
        <rFont val="Arial"/>
        <family val="2"/>
      </rPr>
      <t>)=2,8+27[(98-f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>)/100]</t>
    </r>
    <r>
      <rPr>
        <vertAlign val="superscript"/>
        <sz val="8"/>
        <rFont val="Arial"/>
        <family val="2"/>
      </rPr>
      <t>4</t>
    </r>
  </si>
  <si>
    <r>
      <t>f</t>
    </r>
    <r>
      <rPr>
        <vertAlign val="subscript"/>
        <sz val="8"/>
        <rFont val="Arial"/>
        <family val="2"/>
      </rPr>
      <t>cm</t>
    </r>
    <r>
      <rPr>
        <sz val="8"/>
        <rFont val="Arial"/>
        <family val="2"/>
      </rPr>
      <t>)/100]</t>
    </r>
    <r>
      <rPr>
        <vertAlign val="superscript"/>
        <sz val="8"/>
        <rFont val="Arial"/>
        <family val="2"/>
      </rPr>
      <t>4</t>
    </r>
  </si>
  <si>
    <r>
      <t>e</t>
    </r>
    <r>
      <rPr>
        <vertAlign val="subscript"/>
        <sz val="12.5"/>
        <rFont val="Arial"/>
        <family val="2"/>
      </rPr>
      <t>c2</t>
    </r>
    <r>
      <rPr>
        <sz val="12.5"/>
        <rFont val="Arial"/>
        <family val="2"/>
      </rPr>
      <t xml:space="preserve"> </t>
    </r>
    <r>
      <rPr>
        <sz val="12"/>
        <rFont val="Arial"/>
        <family val="2"/>
      </rPr>
      <t>(‰)</t>
    </r>
  </si>
  <si>
    <r>
      <t xml:space="preserve">voir Figure 3.3 pour 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 xml:space="preserve"> </t>
    </r>
    <r>
      <rPr>
        <sz val="8"/>
        <rFont val="Symbol"/>
        <family val="1"/>
        <charset val="2"/>
      </rPr>
      <t>³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50 MPa</t>
    </r>
  </si>
  <si>
    <t>2, 5</t>
  </si>
  <si>
    <r>
      <t>e</t>
    </r>
    <r>
      <rPr>
        <vertAlign val="subscript"/>
        <sz val="8.5"/>
        <rFont val="Arial"/>
        <family val="2"/>
      </rPr>
      <t>c2</t>
    </r>
    <r>
      <rPr>
        <sz val="8"/>
        <rFont val="Arial"/>
        <family val="2"/>
      </rPr>
      <t>(</t>
    </r>
    <r>
      <rPr>
        <vertAlign val="superscript"/>
        <sz val="8"/>
        <rFont val="Times New Roman"/>
        <family val="1"/>
      </rPr>
      <t>0</t>
    </r>
    <r>
      <rPr>
        <sz val="8"/>
        <rFont val="Times New Roman"/>
        <family val="1"/>
      </rPr>
      <t>/</t>
    </r>
    <r>
      <rPr>
        <vertAlign val="subscript"/>
        <sz val="8"/>
        <rFont val="Times New Roman"/>
        <family val="1"/>
      </rPr>
      <t>00</t>
    </r>
    <r>
      <rPr>
        <sz val="8"/>
        <rFont val="Arial"/>
        <family val="2"/>
      </rPr>
      <t>)=2,0+0,085(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-50)</t>
    </r>
    <r>
      <rPr>
        <vertAlign val="superscript"/>
        <sz val="8"/>
        <rFont val="Arial"/>
        <family val="2"/>
      </rPr>
      <t>0,53</t>
    </r>
  </si>
  <si>
    <r>
      <t>e</t>
    </r>
    <r>
      <rPr>
        <sz val="8"/>
        <rFont val="Arial"/>
        <family val="2"/>
      </rPr>
      <t xml:space="preserve">cu2 </t>
    </r>
    <r>
      <rPr>
        <sz val="12"/>
        <rFont val="Arial"/>
        <family val="2"/>
      </rPr>
      <t>(‰)</t>
    </r>
  </si>
  <si>
    <r>
      <t>e</t>
    </r>
    <r>
      <rPr>
        <vertAlign val="subscript"/>
        <sz val="8.5"/>
        <rFont val="Arial"/>
        <family val="2"/>
      </rPr>
      <t>cu2</t>
    </r>
    <r>
      <rPr>
        <sz val="8"/>
        <rFont val="Arial"/>
        <family val="2"/>
      </rPr>
      <t>(</t>
    </r>
    <r>
      <rPr>
        <vertAlign val="superscript"/>
        <sz val="8"/>
        <rFont val="Times New Roman"/>
        <family val="1"/>
      </rPr>
      <t>0</t>
    </r>
    <r>
      <rPr>
        <sz val="8"/>
        <rFont val="Times New Roman"/>
        <family val="1"/>
      </rPr>
      <t>/</t>
    </r>
    <r>
      <rPr>
        <vertAlign val="subscript"/>
        <sz val="8"/>
        <rFont val="Times New Roman"/>
        <family val="1"/>
      </rPr>
      <t>00</t>
    </r>
    <r>
      <rPr>
        <sz val="8"/>
        <rFont val="Arial"/>
        <family val="2"/>
      </rPr>
      <t>)=2,6+35[(90-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)/100]</t>
    </r>
    <r>
      <rPr>
        <vertAlign val="superscript"/>
        <sz val="8"/>
        <rFont val="Arial"/>
        <family val="2"/>
      </rPr>
      <t>4</t>
    </r>
  </si>
  <si>
    <t>n</t>
  </si>
  <si>
    <r>
      <t>pour 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 xml:space="preserve"> </t>
    </r>
    <r>
      <rPr>
        <sz val="8"/>
        <rFont val="Symbol"/>
        <family val="1"/>
        <charset val="2"/>
      </rPr>
      <t>³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50 MPa</t>
    </r>
  </si>
  <si>
    <r>
      <t>n</t>
    </r>
    <r>
      <rPr>
        <sz val="8"/>
        <rFont val="Arial"/>
        <family val="2"/>
      </rPr>
      <t xml:space="preserve">=1,4+23,4[(90- 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)/100]</t>
    </r>
    <r>
      <rPr>
        <vertAlign val="superscript"/>
        <sz val="8"/>
        <rFont val="Arial"/>
        <family val="2"/>
      </rPr>
      <t>4</t>
    </r>
  </si>
  <si>
    <r>
      <t>e</t>
    </r>
    <r>
      <rPr>
        <vertAlign val="subscript"/>
        <sz val="12.5"/>
        <rFont val="Arial"/>
        <family val="2"/>
      </rPr>
      <t>c3</t>
    </r>
    <r>
      <rPr>
        <sz val="12.5"/>
        <rFont val="Arial"/>
        <family val="2"/>
      </rPr>
      <t xml:space="preserve"> </t>
    </r>
    <r>
      <rPr>
        <sz val="12"/>
        <rFont val="Arial"/>
        <family val="2"/>
      </rPr>
      <t>(‰)</t>
    </r>
  </si>
  <si>
    <r>
      <t xml:space="preserve">voir Figure 3.4 pour 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 xml:space="preserve"> </t>
    </r>
    <r>
      <rPr>
        <sz val="8"/>
        <rFont val="Symbol"/>
        <family val="1"/>
        <charset val="2"/>
      </rPr>
      <t>³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>50 MPa</t>
    </r>
  </si>
  <si>
    <r>
      <t>e</t>
    </r>
    <r>
      <rPr>
        <vertAlign val="subscript"/>
        <sz val="8.5"/>
        <rFont val="Arial"/>
        <family val="2"/>
      </rPr>
      <t>c3</t>
    </r>
    <r>
      <rPr>
        <sz val="8"/>
        <rFont val="Arial"/>
        <family val="2"/>
      </rPr>
      <t>(</t>
    </r>
    <r>
      <rPr>
        <vertAlign val="superscript"/>
        <sz val="8"/>
        <rFont val="Times New Roman"/>
        <family val="1"/>
      </rPr>
      <t>0</t>
    </r>
    <r>
      <rPr>
        <sz val="8"/>
        <rFont val="Times New Roman"/>
        <family val="1"/>
      </rPr>
      <t>/</t>
    </r>
    <r>
      <rPr>
        <vertAlign val="subscript"/>
        <sz val="8"/>
        <rFont val="Times New Roman"/>
        <family val="1"/>
      </rPr>
      <t>00</t>
    </r>
    <r>
      <rPr>
        <sz val="8"/>
        <rFont val="Arial"/>
        <family val="2"/>
      </rPr>
      <t>)=1,75+0,55[(</t>
    </r>
    <r>
      <rPr>
        <i/>
        <sz val="8"/>
        <rFont val="Arial"/>
        <family val="2"/>
      </rPr>
      <t>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-50)/40]</t>
    </r>
  </si>
  <si>
    <r>
      <t>e</t>
    </r>
    <r>
      <rPr>
        <sz val="8"/>
        <rFont val="Arial"/>
        <family val="2"/>
      </rPr>
      <t>cu3</t>
    </r>
  </si>
  <si>
    <r>
      <t>e</t>
    </r>
    <r>
      <rPr>
        <vertAlign val="subscript"/>
        <sz val="8.5"/>
        <rFont val="Arial"/>
        <family val="2"/>
      </rPr>
      <t>cu3</t>
    </r>
    <r>
      <rPr>
        <sz val="8"/>
        <rFont val="Arial"/>
        <family val="2"/>
      </rPr>
      <t>(</t>
    </r>
    <r>
      <rPr>
        <vertAlign val="superscript"/>
        <sz val="8"/>
        <rFont val="Times New Roman"/>
        <family val="1"/>
      </rPr>
      <t>0</t>
    </r>
    <r>
      <rPr>
        <sz val="8"/>
        <rFont val="Times New Roman"/>
        <family val="1"/>
      </rPr>
      <t>/</t>
    </r>
    <r>
      <rPr>
        <vertAlign val="subscript"/>
        <sz val="8"/>
        <rFont val="Times New Roman"/>
        <family val="1"/>
      </rPr>
      <t>00</t>
    </r>
    <r>
      <rPr>
        <sz val="8"/>
        <rFont val="Arial"/>
        <family val="2"/>
      </rPr>
      <t>)=2,6+35[(90-f</t>
    </r>
    <r>
      <rPr>
        <vertAlign val="subscript"/>
        <sz val="8"/>
        <rFont val="Arial"/>
        <family val="2"/>
      </rPr>
      <t>ck</t>
    </r>
    <r>
      <rPr>
        <sz val="8"/>
        <rFont val="Arial"/>
        <family val="2"/>
      </rPr>
      <t>)/100]</t>
    </r>
    <r>
      <rPr>
        <vertAlign val="superscript"/>
        <sz val="8"/>
        <rFont val="Arial"/>
        <family val="2"/>
      </rPr>
      <t>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</si>
</sst>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"/>
    <numFmt numFmtId="165" formatCode="0.000"/>
    <numFmt numFmtId="166" formatCode="0.0000"/>
    <numFmt numFmtId="167" formatCode="#,##0.0000"/>
    <numFmt numFmtId="168" formatCode="0.00000"/>
    <numFmt numFmtId="169" formatCode="0.0"/>
    <numFmt numFmtId="170" formatCode="#,##0.0"/>
    <numFmt numFmtId="171" formatCode="#,##0.00000"/>
    <numFmt numFmtId="172" formatCode="0.00;\-0.00;;@"/>
    <numFmt numFmtId="173" formatCode="0.00&quot;m&quot;"/>
  </numFmts>
  <fonts count="74">
    <font>
      <sz val="10"/>
      <name val="Arial"/>
    </font>
    <font>
      <b/>
      <sz val="10"/>
      <name val="Arial"/>
      <family val="2"/>
    </font>
    <font>
      <b/>
      <i/>
      <u/>
      <sz val="10"/>
      <name val="Arial"/>
      <family val="2"/>
    </font>
    <font>
      <i/>
      <u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b/>
      <sz val="12"/>
      <name val="Arial"/>
      <family val="2"/>
    </font>
    <font>
      <vertAlign val="subscript"/>
      <sz val="10"/>
      <name val="Arial"/>
      <family val="2"/>
    </font>
    <font>
      <sz val="14"/>
      <name val="Symbol"/>
      <family val="1"/>
      <charset val="2"/>
    </font>
    <font>
      <b/>
      <i/>
      <sz val="10"/>
      <color indexed="48"/>
      <name val="Arial"/>
      <family val="2"/>
    </font>
    <font>
      <b/>
      <sz val="14"/>
      <color indexed="10"/>
      <name val="Arial"/>
      <family val="2"/>
    </font>
    <font>
      <sz val="10"/>
      <name val="Times New Roman"/>
      <family val="1"/>
    </font>
    <font>
      <sz val="13"/>
      <name val="Times New Roman"/>
      <family val="1"/>
    </font>
    <font>
      <b/>
      <sz val="11"/>
      <name val="Arial"/>
      <family val="2"/>
    </font>
    <font>
      <i/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9"/>
      <name val="Times New Roman"/>
      <family val="1"/>
    </font>
    <font>
      <sz val="6.5"/>
      <name val="Arial"/>
      <family val="2"/>
    </font>
    <font>
      <sz val="7"/>
      <name val="Times New Roman"/>
      <family val="1"/>
    </font>
    <font>
      <i/>
      <sz val="8"/>
      <name val="Arial"/>
      <family val="2"/>
    </font>
    <font>
      <vertAlign val="subscript"/>
      <sz val="8"/>
      <name val="Arial"/>
      <family val="2"/>
    </font>
    <font>
      <sz val="11"/>
      <name val="Times New Roman"/>
      <family val="1"/>
    </font>
    <font>
      <sz val="8"/>
      <name val="Symbol"/>
      <family val="1"/>
      <charset val="2"/>
    </font>
    <font>
      <sz val="8"/>
      <name val="Times New Roman"/>
      <family val="1"/>
    </font>
    <font>
      <sz val="5"/>
      <name val="Arial"/>
      <family val="2"/>
    </font>
    <font>
      <vertAlign val="superscript"/>
      <sz val="8"/>
      <name val="Arial"/>
      <family val="2"/>
    </font>
    <font>
      <i/>
      <sz val="12.5"/>
      <name val="Symbol"/>
      <family val="1"/>
      <charset val="2"/>
    </font>
    <font>
      <vertAlign val="subscript"/>
      <sz val="12.5"/>
      <name val="Arial"/>
      <family val="2"/>
    </font>
    <font>
      <sz val="12.5"/>
      <name val="Arial"/>
      <family val="2"/>
    </font>
    <font>
      <i/>
      <sz val="8.5"/>
      <name val="Symbol"/>
      <family val="1"/>
      <charset val="2"/>
    </font>
    <font>
      <vertAlign val="subscript"/>
      <sz val="8.5"/>
      <name val="Arial"/>
      <family val="2"/>
    </font>
    <font>
      <sz val="8.5"/>
      <name val="Arial"/>
      <family val="2"/>
    </font>
    <font>
      <vertAlign val="superscript"/>
      <sz val="8"/>
      <name val="Times New Roman"/>
      <family val="1"/>
    </font>
    <font>
      <vertAlign val="subscript"/>
      <sz val="8"/>
      <name val="Times New Roman"/>
      <family val="1"/>
    </font>
    <font>
      <sz val="15"/>
      <name val="Times New Roman"/>
      <family val="1"/>
    </font>
    <font>
      <sz val="9"/>
      <name val="Arial"/>
      <family val="2"/>
    </font>
    <font>
      <vertAlign val="subscript"/>
      <sz val="9"/>
      <name val="Arial"/>
      <family val="2"/>
    </font>
    <font>
      <sz val="10"/>
      <name val="Arial"/>
      <family val="1"/>
      <charset val="2"/>
    </font>
    <font>
      <b/>
      <sz val="10"/>
      <color rgb="FFFF0000"/>
      <name val="Arial"/>
      <family val="2"/>
    </font>
    <font>
      <sz val="10"/>
      <name val="Calibri"/>
      <family val="2"/>
    </font>
    <font>
      <b/>
      <vertAlign val="subscript"/>
      <sz val="10"/>
      <name val="Arial"/>
      <family val="2"/>
    </font>
    <font>
      <vertAlign val="superscript"/>
      <sz val="9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i/>
      <u/>
      <sz val="10"/>
      <color rgb="FFFF0000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u/>
      <sz val="14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10"/>
      <color rgb="FF0070C0"/>
      <name val="Arial"/>
      <family val="2"/>
    </font>
    <font>
      <vertAlign val="subscript"/>
      <sz val="12"/>
      <name val="Arial"/>
      <family val="2"/>
    </font>
    <font>
      <sz val="10"/>
      <color rgb="FF0070C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i/>
      <sz val="9"/>
      <color theme="1"/>
      <name val="Arial"/>
      <family val="2"/>
    </font>
    <font>
      <b/>
      <sz val="9"/>
      <name val="Arial"/>
      <family val="2"/>
    </font>
    <font>
      <sz val="9"/>
      <color theme="4"/>
      <name val="Arial"/>
      <family val="2"/>
    </font>
    <font>
      <sz val="9"/>
      <color rgb="FF0070C0"/>
      <name val="Arial"/>
      <family val="2"/>
    </font>
    <font>
      <i/>
      <sz val="9"/>
      <name val="Arial"/>
      <family val="2"/>
    </font>
    <font>
      <b/>
      <i/>
      <sz val="11"/>
      <color theme="1"/>
      <name val="Arial"/>
      <family val="2"/>
    </font>
    <font>
      <u/>
      <sz val="10"/>
      <name val="Arial"/>
      <family val="2"/>
    </font>
    <font>
      <i/>
      <u/>
      <sz val="10"/>
      <color rgb="FF0070C0"/>
      <name val="Arial"/>
      <family val="2"/>
    </font>
    <font>
      <b/>
      <i/>
      <u/>
      <sz val="12"/>
      <color theme="1"/>
      <name val="Arial"/>
      <family val="2"/>
    </font>
    <font>
      <b/>
      <u/>
      <sz val="14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20" fillId="0" borderId="0"/>
  </cellStyleXfs>
  <cellXfs count="338">
    <xf numFmtId="0" fontId="0" fillId="0" borderId="0" xfId="0"/>
    <xf numFmtId="0" fontId="0" fillId="0" borderId="0" xfId="0" applyAlignment="1">
      <alignment horizontal="center" vertical="center"/>
    </xf>
    <xf numFmtId="0" fontId="17" fillId="0" borderId="18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19" fillId="0" borderId="20" xfId="0" applyFont="1" applyBorder="1" applyAlignment="1">
      <alignment vertical="center" wrapText="1"/>
    </xf>
    <xf numFmtId="0" fontId="19" fillId="0" borderId="18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19" fillId="0" borderId="19" xfId="0" applyFont="1" applyBorder="1" applyAlignment="1">
      <alignment vertical="center" wrapText="1"/>
    </xf>
    <xf numFmtId="0" fontId="30" fillId="0" borderId="18" xfId="0" applyFont="1" applyBorder="1" applyAlignment="1">
      <alignment horizontal="center" vertical="center" wrapText="1"/>
    </xf>
    <xf numFmtId="0" fontId="33" fillId="0" borderId="20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vertical="center" wrapText="1"/>
    </xf>
    <xf numFmtId="0" fontId="38" fillId="0" borderId="29" xfId="0" applyFont="1" applyBorder="1" applyAlignment="1">
      <alignment vertical="center" wrapText="1"/>
    </xf>
    <xf numFmtId="0" fontId="38" fillId="0" borderId="12" xfId="0" applyFont="1" applyBorder="1" applyAlignment="1">
      <alignment vertical="center" wrapText="1"/>
    </xf>
    <xf numFmtId="0" fontId="38" fillId="0" borderId="13" xfId="0" applyFont="1" applyBorder="1" applyAlignment="1">
      <alignment vertical="center" wrapText="1"/>
    </xf>
    <xf numFmtId="0" fontId="25" fillId="0" borderId="29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7" fillId="0" borderId="17" xfId="0" applyFont="1" applyBorder="1" applyAlignment="1">
      <alignment horizontal="center" vertical="center" wrapText="1"/>
    </xf>
    <xf numFmtId="0" fontId="15" fillId="0" borderId="29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5" fillId="0" borderId="13" xfId="0" applyFont="1" applyBorder="1" applyAlignment="1">
      <alignment vertical="center" wrapText="1"/>
    </xf>
    <xf numFmtId="0" fontId="0" fillId="0" borderId="17" xfId="0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38" fillId="0" borderId="20" xfId="0" applyFont="1" applyBorder="1" applyAlignment="1">
      <alignment horizontal="center" vertical="center" wrapText="1"/>
    </xf>
    <xf numFmtId="0" fontId="19" fillId="0" borderId="31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19" fillId="0" borderId="29" xfId="0" applyFont="1" applyBorder="1" applyAlignment="1">
      <alignment vertical="center" wrapText="1"/>
    </xf>
    <xf numFmtId="0" fontId="19" fillId="0" borderId="1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4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  <xf numFmtId="0" fontId="0" fillId="5" borderId="0" xfId="0" applyFill="1" applyAlignment="1">
      <alignment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" fontId="6" fillId="0" borderId="0" xfId="0" applyNumberFormat="1" applyFont="1" applyAlignment="1">
      <alignment vertical="center"/>
    </xf>
    <xf numFmtId="0" fontId="0" fillId="0" borderId="0" xfId="0" applyAlignment="1">
      <alignment horizontal="right" vertical="center"/>
    </xf>
    <xf numFmtId="0" fontId="39" fillId="0" borderId="0" xfId="0" applyFont="1" applyAlignment="1">
      <alignment vertical="center"/>
    </xf>
    <xf numFmtId="0" fontId="1" fillId="7" borderId="0" xfId="0" applyFont="1" applyFill="1" applyAlignment="1">
      <alignment horizontal="right" vertical="center"/>
    </xf>
    <xf numFmtId="166" fontId="1" fillId="7" borderId="0" xfId="0" applyNumberFormat="1" applyFont="1" applyFill="1" applyAlignment="1">
      <alignment horizontal="right" vertical="center"/>
    </xf>
    <xf numFmtId="0" fontId="11" fillId="0" borderId="0" xfId="0" applyFont="1" applyAlignment="1">
      <alignment horizontal="left" vertical="center"/>
    </xf>
    <xf numFmtId="2" fontId="1" fillId="7" borderId="0" xfId="0" applyNumberFormat="1" applyFont="1" applyFill="1" applyAlignment="1">
      <alignment horizontal="right"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" fontId="1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1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quotePrefix="1" applyFont="1" applyAlignment="1">
      <alignment horizontal="right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1" fillId="7" borderId="0" xfId="0" applyNumberFormat="1" applyFont="1" applyFill="1" applyAlignment="1">
      <alignment horizontal="right" vertical="center"/>
    </xf>
    <xf numFmtId="169" fontId="19" fillId="0" borderId="20" xfId="0" applyNumberFormat="1" applyFont="1" applyBorder="1" applyAlignment="1">
      <alignment horizontal="center" vertical="center" wrapText="1"/>
    </xf>
    <xf numFmtId="169" fontId="19" fillId="0" borderId="19" xfId="0" applyNumberFormat="1" applyFont="1" applyBorder="1" applyAlignment="1">
      <alignment horizontal="center" vertical="center" wrapText="1"/>
    </xf>
    <xf numFmtId="169" fontId="19" fillId="0" borderId="26" xfId="0" applyNumberFormat="1" applyFont="1" applyBorder="1" applyAlignment="1">
      <alignment vertical="center" wrapText="1"/>
    </xf>
    <xf numFmtId="169" fontId="19" fillId="0" borderId="27" xfId="0" applyNumberFormat="1" applyFont="1" applyBorder="1" applyAlignment="1">
      <alignment vertical="center" wrapText="1"/>
    </xf>
    <xf numFmtId="1" fontId="19" fillId="0" borderId="26" xfId="0" applyNumberFormat="1" applyFont="1" applyBorder="1" applyAlignment="1">
      <alignment vertical="center" wrapText="1"/>
    </xf>
    <xf numFmtId="1" fontId="19" fillId="0" borderId="27" xfId="0" applyNumberFormat="1" applyFont="1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1" fillId="5" borderId="0" xfId="0" applyFont="1" applyFill="1" applyAlignment="1">
      <alignment horizontal="right" vertical="center"/>
    </xf>
    <xf numFmtId="4" fontId="1" fillId="8" borderId="0" xfId="0" applyNumberFormat="1" applyFont="1" applyFill="1" applyAlignment="1">
      <alignment horizontal="right" vertical="center"/>
    </xf>
    <xf numFmtId="168" fontId="1" fillId="8" borderId="0" xfId="0" applyNumberFormat="1" applyFont="1" applyFill="1" applyAlignment="1">
      <alignment horizontal="right" vertical="center"/>
    </xf>
    <xf numFmtId="166" fontId="1" fillId="8" borderId="0" xfId="0" applyNumberFormat="1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7" fillId="0" borderId="0" xfId="0" applyFont="1" applyAlignment="1">
      <alignment horizontal="left" vertical="center"/>
    </xf>
    <xf numFmtId="166" fontId="0" fillId="9" borderId="10" xfId="0" applyNumberFormat="1" applyFill="1" applyBorder="1" applyAlignment="1">
      <alignment vertical="center"/>
    </xf>
    <xf numFmtId="166" fontId="4" fillId="9" borderId="10" xfId="0" applyNumberFormat="1" applyFont="1" applyFill="1" applyBorder="1" applyAlignment="1">
      <alignment horizontal="left" vertical="center"/>
    </xf>
    <xf numFmtId="168" fontId="4" fillId="9" borderId="10" xfId="0" applyNumberFormat="1" applyFont="1" applyFill="1" applyBorder="1" applyAlignment="1">
      <alignment horizontal="left" vertical="center"/>
    </xf>
    <xf numFmtId="0" fontId="48" fillId="0" borderId="0" xfId="0" applyFont="1" applyAlignment="1">
      <alignment horizontal="left" vertical="center"/>
    </xf>
    <xf numFmtId="0" fontId="4" fillId="9" borderId="2" xfId="0" applyFont="1" applyFill="1" applyBorder="1" applyAlignment="1">
      <alignment vertical="center"/>
    </xf>
    <xf numFmtId="165" fontId="1" fillId="9" borderId="3" xfId="0" applyNumberFormat="1" applyFont="1" applyFill="1" applyBorder="1" applyAlignment="1">
      <alignment horizontal="right" vertical="center"/>
    </xf>
    <xf numFmtId="0" fontId="50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52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4" fontId="54" fillId="0" borderId="0" xfId="0" applyNumberFormat="1" applyFont="1" applyAlignment="1">
      <alignment vertical="center"/>
    </xf>
    <xf numFmtId="2" fontId="54" fillId="0" borderId="0" xfId="0" applyNumberFormat="1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4" fontId="50" fillId="0" borderId="0" xfId="0" applyNumberFormat="1" applyFont="1" applyAlignment="1">
      <alignment vertical="center"/>
    </xf>
    <xf numFmtId="2" fontId="50" fillId="0" borderId="0" xfId="0" applyNumberFormat="1" applyFont="1" applyAlignment="1">
      <alignment horizontal="right" vertical="center"/>
    </xf>
    <xf numFmtId="0" fontId="51" fillId="0" borderId="0" xfId="0" applyFont="1" applyAlignment="1">
      <alignment horizontal="center" vertical="center"/>
    </xf>
    <xf numFmtId="3" fontId="50" fillId="0" borderId="0" xfId="0" applyNumberFormat="1" applyFont="1" applyAlignment="1">
      <alignment horizontal="right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68" fontId="1" fillId="10" borderId="0" xfId="0" applyNumberFormat="1" applyFont="1" applyFill="1" applyAlignment="1">
      <alignment horizontal="right" vertical="center"/>
    </xf>
    <xf numFmtId="0" fontId="39" fillId="0" borderId="0" xfId="0" applyFont="1"/>
    <xf numFmtId="0" fontId="39" fillId="0" borderId="0" xfId="0" applyFont="1" applyAlignment="1">
      <alignment horizontal="left"/>
    </xf>
    <xf numFmtId="173" fontId="0" fillId="11" borderId="10" xfId="0" applyNumberFormat="1" applyFill="1" applyBorder="1" applyAlignment="1">
      <alignment horizontal="center" vertical="center"/>
    </xf>
    <xf numFmtId="4" fontId="57" fillId="0" borderId="2" xfId="0" applyNumberFormat="1" applyFont="1" applyBorder="1" applyAlignment="1">
      <alignment vertical="center"/>
    </xf>
    <xf numFmtId="4" fontId="57" fillId="0" borderId="4" xfId="0" applyNumberFormat="1" applyFont="1" applyBorder="1" applyAlignment="1">
      <alignment vertical="center"/>
    </xf>
    <xf numFmtId="0" fontId="57" fillId="0" borderId="0" xfId="0" applyFont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0" xfId="0" applyFont="1" applyFill="1" applyAlignment="1">
      <alignment horizontal="right" vertical="center"/>
    </xf>
    <xf numFmtId="4" fontId="51" fillId="11" borderId="0" xfId="0" applyNumberFormat="1" applyFont="1" applyFill="1" applyAlignment="1">
      <alignment vertical="center"/>
    </xf>
    <xf numFmtId="165" fontId="51" fillId="11" borderId="0" xfId="0" applyNumberFormat="1" applyFont="1" applyFill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6" xfId="0" applyFont="1" applyBorder="1" applyAlignment="1">
      <alignment horizontal="left" vertical="center"/>
    </xf>
    <xf numFmtId="0" fontId="19" fillId="0" borderId="32" xfId="0" applyFont="1" applyBorder="1" applyAlignment="1">
      <alignment horizontal="left" vertical="center"/>
    </xf>
    <xf numFmtId="0" fontId="19" fillId="0" borderId="33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73" fontId="4" fillId="11" borderId="10" xfId="0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60" fillId="0" borderId="0" xfId="0" applyFont="1" applyAlignment="1">
      <alignment horizontal="left"/>
    </xf>
    <xf numFmtId="0" fontId="62" fillId="0" borderId="0" xfId="0" applyFont="1" applyAlignment="1">
      <alignment horizontal="left"/>
    </xf>
    <xf numFmtId="0" fontId="60" fillId="0" borderId="0" xfId="0" applyFont="1"/>
    <xf numFmtId="0" fontId="63" fillId="0" borderId="0" xfId="0" applyFont="1"/>
    <xf numFmtId="0" fontId="39" fillId="11" borderId="0" xfId="0" applyFont="1" applyFill="1"/>
    <xf numFmtId="0" fontId="39" fillId="5" borderId="0" xfId="0" applyFont="1" applyFill="1"/>
    <xf numFmtId="0" fontId="64" fillId="5" borderId="0" xfId="0" applyFont="1" applyFill="1"/>
    <xf numFmtId="0" fontId="65" fillId="0" borderId="0" xfId="0" applyFont="1"/>
    <xf numFmtId="3" fontId="4" fillId="5" borderId="1" xfId="0" applyNumberFormat="1" applyFont="1" applyFill="1" applyBorder="1" applyAlignment="1">
      <alignment horizontal="right" vertical="center"/>
    </xf>
    <xf numFmtId="2" fontId="57" fillId="11" borderId="2" xfId="0" applyNumberFormat="1" applyFont="1" applyFill="1" applyBorder="1" applyAlignment="1">
      <alignment horizontal="right" vertical="center"/>
    </xf>
    <xf numFmtId="0" fontId="2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0" fillId="12" borderId="0" xfId="0" applyFill="1" applyAlignment="1">
      <alignment vertical="center"/>
    </xf>
    <xf numFmtId="0" fontId="0" fillId="12" borderId="0" xfId="0" applyFill="1" applyAlignment="1">
      <alignment horizontal="center" vertical="center"/>
    </xf>
    <xf numFmtId="0" fontId="46" fillId="5" borderId="0" xfId="0" applyFont="1" applyFill="1" applyAlignment="1">
      <alignment vertical="center"/>
    </xf>
    <xf numFmtId="0" fontId="4" fillId="11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3" fontId="1" fillId="7" borderId="0" xfId="0" applyNumberFormat="1" applyFont="1" applyFill="1" applyAlignment="1">
      <alignment horizontal="right" vertical="center"/>
    </xf>
    <xf numFmtId="0" fontId="4" fillId="0" borderId="0" xfId="0" applyFont="1" applyAlignment="1">
      <alignment horizontal="left" vertical="center" wrapText="1"/>
    </xf>
    <xf numFmtId="4" fontId="1" fillId="7" borderId="0" xfId="0" applyNumberFormat="1" applyFont="1" applyFill="1" applyAlignment="1">
      <alignment horizontal="right" vertical="center"/>
    </xf>
    <xf numFmtId="1" fontId="1" fillId="7" borderId="0" xfId="0" applyNumberFormat="1" applyFont="1" applyFill="1" applyAlignment="1">
      <alignment horizontal="right" vertical="center"/>
    </xf>
    <xf numFmtId="165" fontId="1" fillId="7" borderId="0" xfId="0" applyNumberFormat="1" applyFont="1" applyFill="1" applyAlignment="1">
      <alignment horizontal="right" vertical="center"/>
    </xf>
    <xf numFmtId="0" fontId="46" fillId="0" borderId="0" xfId="0" applyFont="1" applyAlignment="1">
      <alignment horizontal="right" vertical="center"/>
    </xf>
    <xf numFmtId="168" fontId="1" fillId="5" borderId="0" xfId="0" applyNumberFormat="1" applyFont="1" applyFill="1" applyAlignment="1">
      <alignment horizontal="right" vertical="center"/>
    </xf>
    <xf numFmtId="4" fontId="6" fillId="3" borderId="0" xfId="0" applyNumberFormat="1" applyFont="1" applyFill="1" applyAlignment="1">
      <alignment horizontal="right" vertical="center"/>
    </xf>
    <xf numFmtId="2" fontId="1" fillId="8" borderId="0" xfId="0" applyNumberFormat="1" applyFont="1" applyFill="1" applyAlignment="1">
      <alignment horizontal="right" vertical="center"/>
    </xf>
    <xf numFmtId="172" fontId="42" fillId="6" borderId="0" xfId="0" applyNumberFormat="1" applyFont="1" applyFill="1" applyAlignment="1">
      <alignment horizontal="right" vertical="center"/>
    </xf>
    <xf numFmtId="0" fontId="2" fillId="0" borderId="9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4" fillId="5" borderId="43" xfId="0" applyFont="1" applyFill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2" fillId="0" borderId="43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3" xfId="0" applyFont="1" applyBorder="1" applyAlignment="1">
      <alignment horizontal="left" vertical="center"/>
    </xf>
    <xf numFmtId="0" fontId="2" fillId="0" borderId="42" xfId="0" applyFont="1" applyBorder="1" applyAlignment="1">
      <alignment horizontal="left" vertical="center"/>
    </xf>
    <xf numFmtId="0" fontId="4" fillId="0" borderId="42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right" vertical="center"/>
    </xf>
    <xf numFmtId="0" fontId="0" fillId="0" borderId="7" xfId="0" applyBorder="1" applyAlignment="1">
      <alignment vertical="center"/>
    </xf>
    <xf numFmtId="0" fontId="4" fillId="0" borderId="45" xfId="0" applyFont="1" applyBorder="1" applyAlignment="1">
      <alignment vertical="center"/>
    </xf>
    <xf numFmtId="0" fontId="4" fillId="0" borderId="45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12" borderId="0" xfId="0" applyFont="1" applyFill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44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43" xfId="0" quotePrefix="1" applyFont="1" applyBorder="1" applyAlignment="1">
      <alignment horizontal="center" vertical="center"/>
    </xf>
    <xf numFmtId="0" fontId="68" fillId="12" borderId="0" xfId="0" applyFont="1" applyFill="1" applyAlignment="1">
      <alignment vertical="center"/>
    </xf>
    <xf numFmtId="0" fontId="46" fillId="12" borderId="0" xfId="0" applyFont="1" applyFill="1" applyAlignment="1">
      <alignment horizontal="right" vertical="center"/>
    </xf>
    <xf numFmtId="0" fontId="68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39" fillId="5" borderId="0" xfId="0" applyFont="1" applyFill="1" applyAlignment="1">
      <alignment horizontal="left" vertical="center"/>
    </xf>
    <xf numFmtId="165" fontId="59" fillId="0" borderId="0" xfId="0" applyNumberFormat="1" applyFont="1" applyAlignment="1">
      <alignment horizontal="right" vertical="center"/>
    </xf>
    <xf numFmtId="0" fontId="4" fillId="9" borderId="1" xfId="0" applyFont="1" applyFill="1" applyBorder="1" applyAlignment="1">
      <alignment vertical="center"/>
    </xf>
    <xf numFmtId="1" fontId="59" fillId="0" borderId="0" xfId="0" applyNumberFormat="1" applyFont="1" applyAlignment="1">
      <alignment horizontal="right" vertical="center"/>
    </xf>
    <xf numFmtId="0" fontId="51" fillId="11" borderId="0" xfId="1" applyFont="1" applyFill="1" applyAlignment="1">
      <alignment horizontal="right" vertical="center"/>
    </xf>
    <xf numFmtId="0" fontId="59" fillId="5" borderId="0" xfId="1" applyFont="1" applyFill="1" applyAlignment="1">
      <alignment vertical="center"/>
    </xf>
    <xf numFmtId="0" fontId="4" fillId="5" borderId="0" xfId="1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165" fontId="4" fillId="11" borderId="0" xfId="0" applyNumberFormat="1" applyFont="1" applyFill="1" applyAlignment="1">
      <alignment horizontal="right" vertical="center"/>
    </xf>
    <xf numFmtId="0" fontId="4" fillId="5" borderId="45" xfId="0" applyFont="1" applyFill="1" applyBorder="1" applyAlignment="1">
      <alignment vertical="center"/>
    </xf>
    <xf numFmtId="0" fontId="69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2" fontId="5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2" fillId="0" borderId="3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42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4" fillId="0" borderId="6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7" xfId="0" applyFont="1" applyBorder="1" applyAlignment="1">
      <alignment vertical="center"/>
    </xf>
    <xf numFmtId="0" fontId="51" fillId="0" borderId="0" xfId="0" applyFont="1" applyAlignment="1">
      <alignment horizontal="left" vertical="center"/>
    </xf>
    <xf numFmtId="0" fontId="51" fillId="11" borderId="0" xfId="0" applyFont="1" applyFill="1" applyAlignment="1">
      <alignment horizontal="left" vertical="center"/>
    </xf>
    <xf numFmtId="0" fontId="55" fillId="0" borderId="0" xfId="0" applyFont="1" applyAlignment="1">
      <alignment vertical="center"/>
    </xf>
    <xf numFmtId="0" fontId="4" fillId="0" borderId="0" xfId="0" quotePrefix="1" applyFont="1" applyAlignment="1">
      <alignment vertical="center"/>
    </xf>
    <xf numFmtId="0" fontId="0" fillId="0" borderId="9" xfId="0" applyBorder="1" applyAlignment="1">
      <alignment vertical="center"/>
    </xf>
    <xf numFmtId="0" fontId="1" fillId="0" borderId="4" xfId="0" applyFont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66" fillId="0" borderId="0" xfId="0" applyFont="1" applyAlignment="1">
      <alignment vertical="center"/>
    </xf>
    <xf numFmtId="0" fontId="0" fillId="5" borderId="42" xfId="0" applyFill="1" applyBorder="1" applyAlignment="1">
      <alignment horizontal="left" vertical="center"/>
    </xf>
    <xf numFmtId="0" fontId="0" fillId="5" borderId="43" xfId="0" applyFill="1" applyBorder="1" applyAlignment="1">
      <alignment horizontal="center" vertical="center"/>
    </xf>
    <xf numFmtId="0" fontId="60" fillId="0" borderId="42" xfId="0" applyFont="1" applyBorder="1" applyAlignment="1">
      <alignment horizontal="left"/>
    </xf>
    <xf numFmtId="0" fontId="39" fillId="0" borderId="42" xfId="0" applyFont="1" applyBorder="1"/>
    <xf numFmtId="0" fontId="4" fillId="0" borderId="42" xfId="0" applyFont="1" applyBorder="1"/>
    <xf numFmtId="4" fontId="1" fillId="7" borderId="0" xfId="0" applyNumberFormat="1" applyFont="1" applyFill="1" applyAlignment="1">
      <alignment vertical="center"/>
    </xf>
    <xf numFmtId="0" fontId="4" fillId="0" borderId="0" xfId="0" applyFont="1" applyAlignment="1">
      <alignment horizontal="center" vertical="center" wrapText="1"/>
    </xf>
    <xf numFmtId="170" fontId="1" fillId="7" borderId="0" xfId="0" applyNumberFormat="1" applyFont="1" applyFill="1" applyAlignment="1">
      <alignment vertical="center"/>
    </xf>
    <xf numFmtId="1" fontId="1" fillId="7" borderId="0" xfId="0" applyNumberFormat="1" applyFont="1" applyFill="1" applyAlignment="1">
      <alignment vertical="center"/>
    </xf>
    <xf numFmtId="4" fontId="1" fillId="0" borderId="0" xfId="0" applyNumberFormat="1" applyFont="1" applyAlignment="1">
      <alignment vertical="center"/>
    </xf>
    <xf numFmtId="4" fontId="1" fillId="5" borderId="0" xfId="0" applyNumberFormat="1" applyFont="1" applyFill="1" applyAlignment="1">
      <alignment vertical="center"/>
    </xf>
    <xf numFmtId="4" fontId="1" fillId="2" borderId="0" xfId="0" applyNumberFormat="1" applyFont="1" applyFill="1" applyAlignment="1">
      <alignment horizontal="right" vertical="center"/>
    </xf>
    <xf numFmtId="4" fontId="1" fillId="2" borderId="0" xfId="0" applyNumberFormat="1" applyFont="1" applyFill="1" applyAlignment="1">
      <alignment vertical="center"/>
    </xf>
    <xf numFmtId="167" fontId="1" fillId="7" borderId="0" xfId="0" applyNumberFormat="1" applyFont="1" applyFill="1" applyAlignment="1">
      <alignment horizontal="right" vertical="center"/>
    </xf>
    <xf numFmtId="0" fontId="8" fillId="0" borderId="0" xfId="0" applyFont="1" applyAlignment="1">
      <alignment vertical="center"/>
    </xf>
    <xf numFmtId="171" fontId="1" fillId="2" borderId="0" xfId="0" applyNumberFormat="1" applyFont="1" applyFill="1" applyAlignment="1">
      <alignment horizontal="right" vertical="center"/>
    </xf>
    <xf numFmtId="4" fontId="1" fillId="4" borderId="0" xfId="0" applyNumberFormat="1" applyFont="1" applyFill="1" applyAlignment="1">
      <alignment horizontal="right" vertical="center"/>
    </xf>
    <xf numFmtId="164" fontId="1" fillId="5" borderId="0" xfId="0" applyNumberFormat="1" applyFont="1" applyFill="1" applyAlignment="1">
      <alignment horizontal="right" vertical="center"/>
    </xf>
    <xf numFmtId="164" fontId="1" fillId="2" borderId="0" xfId="0" applyNumberFormat="1" applyFont="1" applyFill="1" applyAlignment="1">
      <alignment vertical="center"/>
    </xf>
    <xf numFmtId="4" fontId="42" fillId="6" borderId="8" xfId="0" applyNumberFormat="1" applyFont="1" applyFill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1" fillId="0" borderId="44" xfId="0" applyFont="1" applyBorder="1" applyAlignment="1">
      <alignment vertical="center"/>
    </xf>
    <xf numFmtId="0" fontId="1" fillId="0" borderId="45" xfId="0" applyFont="1" applyBorder="1" applyAlignment="1">
      <alignment vertical="center"/>
    </xf>
    <xf numFmtId="0" fontId="0" fillId="0" borderId="4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0" fillId="0" borderId="43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5" borderId="4" xfId="0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4" fillId="0" borderId="8" xfId="0" applyFont="1" applyBorder="1"/>
    <xf numFmtId="0" fontId="1" fillId="0" borderId="8" xfId="0" applyFont="1" applyBorder="1" applyAlignment="1">
      <alignment horizontal="right" vertical="center"/>
    </xf>
    <xf numFmtId="0" fontId="0" fillId="0" borderId="44" xfId="0" applyBorder="1" applyAlignment="1">
      <alignment vertical="center"/>
    </xf>
    <xf numFmtId="0" fontId="0" fillId="0" borderId="45" xfId="0" applyBorder="1" applyAlignment="1">
      <alignment vertical="center"/>
    </xf>
    <xf numFmtId="0" fontId="50" fillId="0" borderId="3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vertical="center"/>
    </xf>
    <xf numFmtId="0" fontId="0" fillId="5" borderId="45" xfId="0" applyFill="1" applyBorder="1" applyAlignment="1">
      <alignment vertical="center"/>
    </xf>
    <xf numFmtId="0" fontId="3" fillId="5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8" fillId="5" borderId="0" xfId="0" applyFont="1" applyFill="1" applyAlignment="1">
      <alignment horizontal="left" vertical="center"/>
    </xf>
    <xf numFmtId="2" fontId="1" fillId="5" borderId="0" xfId="0" applyNumberFormat="1" applyFont="1" applyFill="1" applyAlignment="1">
      <alignment horizontal="right" vertical="center"/>
    </xf>
    <xf numFmtId="0" fontId="13" fillId="12" borderId="0" xfId="0" applyFont="1" applyFill="1" applyAlignment="1">
      <alignment vertical="center"/>
    </xf>
    <xf numFmtId="0" fontId="70" fillId="12" borderId="0" xfId="0" applyFont="1" applyFill="1" applyAlignment="1">
      <alignment horizontal="left" vertical="center"/>
    </xf>
    <xf numFmtId="0" fontId="2" fillId="5" borderId="0" xfId="0" applyFont="1" applyFill="1" applyAlignment="1">
      <alignment vertical="center"/>
    </xf>
    <xf numFmtId="0" fontId="1" fillId="0" borderId="4" xfId="0" applyFont="1" applyBorder="1" applyAlignment="1">
      <alignment vertical="center"/>
    </xf>
    <xf numFmtId="0" fontId="0" fillId="5" borderId="42" xfId="0" applyFill="1" applyBorder="1" applyAlignment="1">
      <alignment vertical="center"/>
    </xf>
    <xf numFmtId="0" fontId="51" fillId="11" borderId="0" xfId="0" applyFont="1" applyFill="1" applyAlignment="1">
      <alignment horizontal="center" vertical="center"/>
    </xf>
    <xf numFmtId="0" fontId="1" fillId="0" borderId="43" xfId="0" applyFont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1" fillId="8" borderId="0" xfId="0" applyFont="1" applyFill="1" applyAlignment="1">
      <alignment vertical="center"/>
    </xf>
    <xf numFmtId="0" fontId="14" fillId="0" borderId="0" xfId="0" applyFont="1" applyAlignment="1">
      <alignment horizontal="left" vertical="center"/>
    </xf>
    <xf numFmtId="164" fontId="1" fillId="0" borderId="0" xfId="0" applyNumberFormat="1" applyFont="1" applyAlignment="1">
      <alignment vertical="center"/>
    </xf>
    <xf numFmtId="164" fontId="1" fillId="0" borderId="0" xfId="0" applyNumberFormat="1" applyFont="1" applyAlignment="1">
      <alignment horizontal="left" vertical="center"/>
    </xf>
    <xf numFmtId="0" fontId="3" fillId="0" borderId="4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0" fillId="0" borderId="43" xfId="0" quotePrefix="1" applyBorder="1" applyAlignment="1">
      <alignment horizontal="center" vertical="center"/>
    </xf>
    <xf numFmtId="0" fontId="1" fillId="8" borderId="43" xfId="0" applyFont="1" applyFill="1" applyBorder="1" applyAlignment="1">
      <alignment horizontal="center"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67" fillId="5" borderId="0" xfId="0" applyFont="1" applyFill="1"/>
    <xf numFmtId="0" fontId="67" fillId="5" borderId="41" xfId="0" applyFont="1" applyFill="1" applyBorder="1"/>
    <xf numFmtId="0" fontId="4" fillId="0" borderId="4" xfId="0" applyFont="1" applyBorder="1" applyAlignment="1">
      <alignment horizontal="right" vertical="center"/>
    </xf>
    <xf numFmtId="0" fontId="61" fillId="0" borderId="0" xfId="0" applyFont="1" applyAlignment="1">
      <alignment horizontal="left"/>
    </xf>
    <xf numFmtId="0" fontId="61" fillId="0" borderId="0" xfId="0" applyFont="1" applyAlignment="1">
      <alignment horizontal="left" wrapText="1"/>
    </xf>
    <xf numFmtId="0" fontId="39" fillId="0" borderId="0" xfId="0" applyFont="1" applyAlignment="1">
      <alignment horizontal="left" wrapText="1"/>
    </xf>
    <xf numFmtId="2" fontId="71" fillId="0" borderId="0" xfId="0" applyNumberFormat="1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7" fillId="5" borderId="0" xfId="0" applyFont="1" applyFill="1" applyAlignment="1">
      <alignment horizontal="left"/>
    </xf>
    <xf numFmtId="0" fontId="67" fillId="5" borderId="41" xfId="0" applyFont="1" applyFill="1" applyBorder="1" applyAlignment="1">
      <alignment horizontal="left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30" fillId="0" borderId="28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</cellXfs>
  <cellStyles count="2">
    <cellStyle name="Normal" xfId="0" builtinId="0"/>
    <cellStyle name="ปกติ_Mbeam" xfId="1" xr:uid="{00000000-0005-0000-0000-000001000000}"/>
  </cellStyles>
  <dxfs count="14"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00B050"/>
      </font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00B050"/>
      </font>
    </dxf>
    <dxf>
      <fill>
        <patternFill>
          <bgColor theme="1" tint="0.14996795556505021"/>
        </patternFill>
      </fill>
    </dxf>
    <dxf>
      <fill>
        <patternFill>
          <bgColor rgb="FF00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FF"/>
      <color rgb="FFFFFF99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48</xdr:row>
      <xdr:rowOff>0</xdr:rowOff>
    </xdr:from>
    <xdr:to>
      <xdr:col>8</xdr:col>
      <xdr:colOff>542925</xdr:colOff>
      <xdr:row>48</xdr:row>
      <xdr:rowOff>0</xdr:rowOff>
    </xdr:to>
    <xdr:sp macro="" textlink="">
      <xdr:nvSpPr>
        <xdr:cNvPr id="2056" name="Text Box 8">
          <a:extLst>
            <a:ext uri="{FF2B5EF4-FFF2-40B4-BE49-F238E27FC236}">
              <a16:creationId xmlns:a16="http://schemas.microsoft.com/office/drawing/2014/main" id="{00000000-0008-0000-0100-000008080000}"/>
            </a:ext>
          </a:extLst>
        </xdr:cNvPr>
        <xdr:cNvSpPr txBox="1">
          <a:spLocks noChangeArrowheads="1"/>
        </xdr:cNvSpPr>
      </xdr:nvSpPr>
      <xdr:spPr bwMode="auto">
        <a:xfrm>
          <a:off x="5048250" y="11868150"/>
          <a:ext cx="295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Symbol"/>
            </a:rPr>
            <a:t>m</a:t>
          </a:r>
          <a:r>
            <a:rPr lang="fr-FR" sz="12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bu</a:t>
          </a:r>
        </a:p>
      </xdr:txBody>
    </xdr:sp>
    <xdr:clientData/>
  </xdr:twoCellAnchor>
  <xdr:twoCellAnchor>
    <xdr:from>
      <xdr:col>8</xdr:col>
      <xdr:colOff>1047750</xdr:colOff>
      <xdr:row>48</xdr:row>
      <xdr:rowOff>0</xdr:rowOff>
    </xdr:from>
    <xdr:to>
      <xdr:col>8</xdr:col>
      <xdr:colOff>762000</xdr:colOff>
      <xdr:row>48</xdr:row>
      <xdr:rowOff>0</xdr:rowOff>
    </xdr:to>
    <xdr:sp macro="" textlink="">
      <xdr:nvSpPr>
        <xdr:cNvPr id="2062" name="Text Box 14">
          <a:extLst>
            <a:ext uri="{FF2B5EF4-FFF2-40B4-BE49-F238E27FC236}">
              <a16:creationId xmlns:a16="http://schemas.microsoft.com/office/drawing/2014/main" id="{00000000-0008-0000-0100-00000E080000}"/>
            </a:ext>
          </a:extLst>
        </xdr:cNvPr>
        <xdr:cNvSpPr txBox="1">
          <a:spLocks noChangeArrowheads="1"/>
        </xdr:cNvSpPr>
      </xdr:nvSpPr>
      <xdr:spPr bwMode="auto">
        <a:xfrm>
          <a:off x="5562600" y="1186815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Symbol"/>
            </a:rPr>
            <a:t>m</a:t>
          </a:r>
          <a:r>
            <a:rPr lang="fr-FR" sz="12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lu</a:t>
          </a:r>
        </a:p>
      </xdr:txBody>
    </xdr:sp>
    <xdr:clientData/>
  </xdr:twoCellAnchor>
  <xdr:twoCellAnchor>
    <xdr:from>
      <xdr:col>8</xdr:col>
      <xdr:colOff>1047750</xdr:colOff>
      <xdr:row>46</xdr:row>
      <xdr:rowOff>133350</xdr:rowOff>
    </xdr:from>
    <xdr:to>
      <xdr:col>8</xdr:col>
      <xdr:colOff>1362075</xdr:colOff>
      <xdr:row>47</xdr:row>
      <xdr:rowOff>0</xdr:rowOff>
    </xdr:to>
    <xdr:sp macro="" textlink="">
      <xdr:nvSpPr>
        <xdr:cNvPr id="2063" name="Text Box 15">
          <a:extLst>
            <a:ext uri="{FF2B5EF4-FFF2-40B4-BE49-F238E27FC236}">
              <a16:creationId xmlns:a16="http://schemas.microsoft.com/office/drawing/2014/main" id="{00000000-0008-0000-0100-00000F080000}"/>
            </a:ext>
          </a:extLst>
        </xdr:cNvPr>
        <xdr:cNvSpPr txBox="1">
          <a:spLocks noChangeArrowheads="1"/>
        </xdr:cNvSpPr>
      </xdr:nvSpPr>
      <xdr:spPr bwMode="auto">
        <a:xfrm>
          <a:off x="5562600" y="11077575"/>
          <a:ext cx="0" cy="6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Symbol"/>
            </a:rPr>
            <a:t>m</a:t>
          </a:r>
          <a:r>
            <a:rPr lang="fr-FR" sz="12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lu</a:t>
          </a:r>
        </a:p>
      </xdr:txBody>
    </xdr:sp>
    <xdr:clientData/>
  </xdr:twoCellAnchor>
  <xdr:twoCellAnchor>
    <xdr:from>
      <xdr:col>8</xdr:col>
      <xdr:colOff>1047750</xdr:colOff>
      <xdr:row>55</xdr:row>
      <xdr:rowOff>133350</xdr:rowOff>
    </xdr:from>
    <xdr:to>
      <xdr:col>8</xdr:col>
      <xdr:colOff>1362075</xdr:colOff>
      <xdr:row>56</xdr:row>
      <xdr:rowOff>0</xdr:rowOff>
    </xdr:to>
    <xdr:sp macro="" textlink="">
      <xdr:nvSpPr>
        <xdr:cNvPr id="2070" name="Text Box 22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5562600" y="13125450"/>
          <a:ext cx="0" cy="6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Symbol"/>
            </a:rPr>
            <a:t>m</a:t>
          </a:r>
          <a:r>
            <a:rPr lang="fr-FR" sz="12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lu</a:t>
          </a:r>
        </a:p>
      </xdr:txBody>
    </xdr:sp>
    <xdr:clientData/>
  </xdr:twoCellAnchor>
  <xdr:twoCellAnchor editAs="oneCell">
    <xdr:from>
      <xdr:col>4</xdr:col>
      <xdr:colOff>76980</xdr:colOff>
      <xdr:row>19</xdr:row>
      <xdr:rowOff>160292</xdr:rowOff>
    </xdr:from>
    <xdr:to>
      <xdr:col>6</xdr:col>
      <xdr:colOff>188101</xdr:colOff>
      <xdr:row>32</xdr:row>
      <xdr:rowOff>45859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770"/>
        <a:stretch/>
      </xdr:blipFill>
      <xdr:spPr bwMode="auto">
        <a:xfrm>
          <a:off x="4205635" y="3748619"/>
          <a:ext cx="2507957" cy="2351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779930</xdr:colOff>
      <xdr:row>52</xdr:row>
      <xdr:rowOff>115260</xdr:rowOff>
    </xdr:from>
    <xdr:to>
      <xdr:col>13</xdr:col>
      <xdr:colOff>482814</xdr:colOff>
      <xdr:row>55</xdr:row>
      <xdr:rowOff>197224</xdr:rowOff>
    </xdr:to>
    <xdr:sp macro="" textlink="">
      <xdr:nvSpPr>
        <xdr:cNvPr id="4" name="Accolade fermante 3">
          <a:extLst>
            <a:ext uri="{FF2B5EF4-FFF2-40B4-BE49-F238E27FC236}">
              <a16:creationId xmlns:a16="http://schemas.microsoft.com/office/drawing/2014/main" id="{C022284D-F3F5-4F8B-9F24-29B8339800BD}"/>
            </a:ext>
          </a:extLst>
        </xdr:cNvPr>
        <xdr:cNvSpPr/>
      </xdr:nvSpPr>
      <xdr:spPr bwMode="auto">
        <a:xfrm>
          <a:off x="12891248" y="10397778"/>
          <a:ext cx="491778" cy="664670"/>
        </a:xfrm>
        <a:prstGeom prst="rightBrace">
          <a:avLst>
            <a:gd name="adj1" fmla="val 8333"/>
            <a:gd name="adj2" fmla="val 3526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493059</xdr:colOff>
      <xdr:row>5</xdr:row>
      <xdr:rowOff>35859</xdr:rowOff>
    </xdr:from>
    <xdr:to>
      <xdr:col>12</xdr:col>
      <xdr:colOff>762000</xdr:colOff>
      <xdr:row>9</xdr:row>
      <xdr:rowOff>10245</xdr:rowOff>
    </xdr:to>
    <xdr:sp macro="" textlink="">
      <xdr:nvSpPr>
        <xdr:cNvPr id="6" name="Accolade fermante 5">
          <a:extLst>
            <a:ext uri="{FF2B5EF4-FFF2-40B4-BE49-F238E27FC236}">
              <a16:creationId xmlns:a16="http://schemas.microsoft.com/office/drawing/2014/main" id="{7A670E58-8B62-47E0-8B63-0FA1911105F5}"/>
            </a:ext>
          </a:extLst>
        </xdr:cNvPr>
        <xdr:cNvSpPr/>
      </xdr:nvSpPr>
      <xdr:spPr bwMode="auto">
        <a:xfrm>
          <a:off x="12604377" y="968188"/>
          <a:ext cx="268941" cy="763281"/>
        </a:xfrm>
        <a:prstGeom prst="rightBrace">
          <a:avLst>
            <a:gd name="adj1" fmla="val 8333"/>
            <a:gd name="adj2" fmla="val 35269"/>
          </a:avLst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39014</xdr:colOff>
      <xdr:row>5</xdr:row>
      <xdr:rowOff>122911</xdr:rowOff>
    </xdr:from>
    <xdr:to>
      <xdr:col>16</xdr:col>
      <xdr:colOff>704602</xdr:colOff>
      <xdr:row>12</xdr:row>
      <xdr:rowOff>14993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A94581F-AD0B-412B-8838-771AFFA9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05487" y="1092729"/>
          <a:ext cx="5389988" cy="1249828"/>
        </a:xfrm>
        <a:prstGeom prst="rect">
          <a:avLst/>
        </a:prstGeom>
      </xdr:spPr>
    </xdr:pic>
    <xdr:clientData/>
  </xdr:twoCellAnchor>
  <xdr:twoCellAnchor editAs="oneCell">
    <xdr:from>
      <xdr:col>11</xdr:col>
      <xdr:colOff>311362</xdr:colOff>
      <xdr:row>16</xdr:row>
      <xdr:rowOff>145018</xdr:rowOff>
    </xdr:from>
    <xdr:to>
      <xdr:col>16</xdr:col>
      <xdr:colOff>263789</xdr:colOff>
      <xdr:row>25</xdr:row>
      <xdr:rowOff>35199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949ACB94-A16B-434B-BF0D-1A2CDB564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77835" y="3248436"/>
          <a:ext cx="4676827" cy="1635854"/>
        </a:xfrm>
        <a:prstGeom prst="rect">
          <a:avLst/>
        </a:prstGeom>
      </xdr:spPr>
    </xdr:pic>
    <xdr:clientData/>
  </xdr:twoCellAnchor>
  <xdr:twoCellAnchor editAs="oneCell">
    <xdr:from>
      <xdr:col>11</xdr:col>
      <xdr:colOff>1251866</xdr:colOff>
      <xdr:row>25</xdr:row>
      <xdr:rowOff>150230</xdr:rowOff>
    </xdr:from>
    <xdr:to>
      <xdr:col>14</xdr:col>
      <xdr:colOff>655462</xdr:colOff>
      <xdr:row>32</xdr:row>
      <xdr:rowOff>63418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3DEEEF9-B836-4F64-A8C0-97DADCA47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18339" y="4999321"/>
          <a:ext cx="2548578" cy="1270933"/>
        </a:xfrm>
        <a:prstGeom prst="rect">
          <a:avLst/>
        </a:prstGeom>
      </xdr:spPr>
    </xdr:pic>
    <xdr:clientData/>
  </xdr:twoCellAnchor>
  <xdr:twoCellAnchor>
    <xdr:from>
      <xdr:col>9</xdr:col>
      <xdr:colOff>475130</xdr:colOff>
      <xdr:row>6</xdr:row>
      <xdr:rowOff>125506</xdr:rowOff>
    </xdr:from>
    <xdr:to>
      <xdr:col>9</xdr:col>
      <xdr:colOff>770964</xdr:colOff>
      <xdr:row>12</xdr:row>
      <xdr:rowOff>62753</xdr:rowOff>
    </xdr:to>
    <xdr:sp macro="" textlink="">
      <xdr:nvSpPr>
        <xdr:cNvPr id="5" name="Accolade fermante 4">
          <a:extLst>
            <a:ext uri="{FF2B5EF4-FFF2-40B4-BE49-F238E27FC236}">
              <a16:creationId xmlns:a16="http://schemas.microsoft.com/office/drawing/2014/main" id="{E2A026F9-322D-D91D-A23D-CA84A9D573EB}"/>
            </a:ext>
          </a:extLst>
        </xdr:cNvPr>
        <xdr:cNvSpPr/>
      </xdr:nvSpPr>
      <xdr:spPr bwMode="auto">
        <a:xfrm>
          <a:off x="11528612" y="1255059"/>
          <a:ext cx="295834" cy="1066800"/>
        </a:xfrm>
        <a:prstGeom prst="rightBrace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61"/>
  <sheetViews>
    <sheetView view="pageBreakPreview" zoomScaleNormal="100" zoomScaleSheetLayoutView="100" workbookViewId="0">
      <selection activeCell="B8" sqref="B8:G8"/>
    </sheetView>
  </sheetViews>
  <sheetFormatPr defaultColWidth="8.85546875" defaultRowHeight="13.15"/>
  <sheetData>
    <row r="1" spans="1:9">
      <c r="A1" s="164" t="s">
        <v>0</v>
      </c>
    </row>
    <row r="2" spans="1:9">
      <c r="A2" s="144" t="s">
        <v>1</v>
      </c>
      <c r="B2" s="144" t="s">
        <v>2</v>
      </c>
      <c r="H2" s="144"/>
      <c r="I2" s="144"/>
    </row>
    <row r="3" spans="1:9">
      <c r="A3" s="144"/>
      <c r="B3" s="144"/>
      <c r="H3" s="144"/>
      <c r="I3" s="144"/>
    </row>
    <row r="4" spans="1:9">
      <c r="A4" s="313" t="s">
        <v>3</v>
      </c>
      <c r="B4" s="313"/>
      <c r="C4" s="313"/>
      <c r="D4" s="313"/>
      <c r="E4" s="313"/>
      <c r="F4" s="313"/>
      <c r="G4" s="313"/>
      <c r="H4" s="144"/>
      <c r="I4" s="144"/>
    </row>
    <row r="5" spans="1:9">
      <c r="A5" s="162" t="s">
        <v>4</v>
      </c>
      <c r="B5" s="314" t="s">
        <v>0</v>
      </c>
      <c r="C5" s="314"/>
      <c r="D5" s="314"/>
      <c r="E5" s="314"/>
      <c r="F5" s="314"/>
      <c r="G5" s="314"/>
      <c r="H5" s="144"/>
      <c r="I5" s="144"/>
    </row>
    <row r="6" spans="1:9">
      <c r="A6" s="162" t="s">
        <v>5</v>
      </c>
      <c r="B6" s="315" t="s">
        <v>6</v>
      </c>
      <c r="C6" s="315"/>
      <c r="D6" s="315"/>
      <c r="E6" s="315"/>
      <c r="F6" s="315"/>
      <c r="G6" s="315"/>
      <c r="H6" s="144"/>
      <c r="I6" s="144"/>
    </row>
    <row r="7" spans="1:9">
      <c r="A7" s="162" t="s">
        <v>7</v>
      </c>
      <c r="B7" s="315" t="s">
        <v>8</v>
      </c>
      <c r="C7" s="315"/>
      <c r="D7" s="315"/>
      <c r="E7" s="315"/>
      <c r="F7" s="315"/>
      <c r="G7" s="315"/>
      <c r="H7" s="144"/>
      <c r="I7" s="144"/>
    </row>
    <row r="8" spans="1:9">
      <c r="A8" s="162" t="s">
        <v>9</v>
      </c>
      <c r="B8" s="315" t="s">
        <v>10</v>
      </c>
      <c r="C8" s="315"/>
      <c r="D8" s="315"/>
      <c r="E8" s="315"/>
      <c r="F8" s="315"/>
      <c r="G8" s="315"/>
      <c r="H8" s="144"/>
      <c r="I8" s="144"/>
    </row>
    <row r="9" spans="1:9">
      <c r="A9" s="162"/>
      <c r="B9" s="144"/>
      <c r="C9" s="144"/>
      <c r="D9" s="144"/>
      <c r="E9" s="144"/>
      <c r="F9" s="144"/>
      <c r="G9" s="144"/>
      <c r="H9" s="144"/>
      <c r="I9" s="144"/>
    </row>
    <row r="10" spans="1:9">
      <c r="A10" s="161" t="s">
        <v>11</v>
      </c>
      <c r="B10" s="144"/>
      <c r="C10" s="144"/>
      <c r="D10" s="144"/>
      <c r="E10" s="144"/>
      <c r="F10" s="144"/>
      <c r="G10" s="144"/>
      <c r="H10" s="144"/>
      <c r="I10" s="144"/>
    </row>
    <row r="11" spans="1:9">
      <c r="A11" s="144" t="s">
        <v>12</v>
      </c>
      <c r="B11" s="144"/>
      <c r="C11" s="144"/>
      <c r="D11" s="144"/>
      <c r="E11" s="144"/>
      <c r="F11" s="144"/>
      <c r="G11" s="144"/>
      <c r="H11" s="166"/>
      <c r="I11" s="144"/>
    </row>
    <row r="12" spans="1:9">
      <c r="A12" s="145" t="s">
        <v>13</v>
      </c>
      <c r="B12" s="144"/>
      <c r="C12" s="144"/>
      <c r="D12" s="144"/>
      <c r="E12" s="144"/>
      <c r="F12" s="144"/>
      <c r="G12" s="144"/>
      <c r="H12" s="165"/>
      <c r="I12" s="144"/>
    </row>
    <row r="13" spans="1:9">
      <c r="A13" s="168" t="s">
        <v>14</v>
      </c>
      <c r="F13" s="144"/>
      <c r="G13" s="144"/>
      <c r="H13" s="167"/>
      <c r="I13" s="144"/>
    </row>
    <row r="14" spans="1:9">
      <c r="F14" s="144"/>
      <c r="G14" s="144"/>
      <c r="H14" s="144"/>
      <c r="I14" s="144"/>
    </row>
    <row r="15" spans="1:9">
      <c r="H15" s="144"/>
      <c r="I15" s="144"/>
    </row>
    <row r="16" spans="1:9">
      <c r="A16" s="163" t="s">
        <v>15</v>
      </c>
      <c r="B16" s="144"/>
      <c r="C16" s="144"/>
      <c r="D16" s="144"/>
      <c r="E16" s="144"/>
      <c r="F16" s="144"/>
      <c r="G16" s="144"/>
      <c r="H16" s="144"/>
      <c r="I16" s="144"/>
    </row>
    <row r="17" spans="1:9">
      <c r="A17" s="144"/>
      <c r="B17" s="144"/>
      <c r="C17" s="144"/>
      <c r="D17" s="144"/>
      <c r="E17" s="144"/>
      <c r="F17" s="144"/>
      <c r="G17" s="144"/>
      <c r="H17" s="144"/>
      <c r="I17" s="144"/>
    </row>
    <row r="18" spans="1:9">
      <c r="A18" s="144" t="s">
        <v>16</v>
      </c>
      <c r="B18" s="144"/>
      <c r="C18" s="144"/>
      <c r="D18" s="144"/>
      <c r="E18" s="144"/>
      <c r="F18" s="144"/>
      <c r="G18" s="144"/>
      <c r="H18" s="144"/>
      <c r="I18" s="144"/>
    </row>
    <row r="19" spans="1:9">
      <c r="A19" s="144" t="s">
        <v>17</v>
      </c>
      <c r="B19" s="144"/>
      <c r="C19" s="144"/>
      <c r="D19" s="144"/>
      <c r="E19" s="144"/>
      <c r="H19" s="144"/>
      <c r="I19" s="144"/>
    </row>
    <row r="20" spans="1:9">
      <c r="A20" s="161"/>
      <c r="B20" s="144"/>
      <c r="C20" s="144"/>
      <c r="D20" s="144"/>
      <c r="E20" s="144"/>
      <c r="F20" s="144"/>
      <c r="G20" s="144"/>
      <c r="H20" s="144"/>
      <c r="I20" s="144"/>
    </row>
    <row r="21" spans="1:9">
      <c r="A21" s="144"/>
      <c r="B21" s="144"/>
      <c r="C21" s="144"/>
      <c r="D21" s="144"/>
      <c r="E21" s="144"/>
      <c r="F21" s="144"/>
      <c r="G21" s="144"/>
      <c r="H21" s="144"/>
      <c r="I21" s="144"/>
    </row>
    <row r="22" spans="1:9">
      <c r="A22" s="144"/>
      <c r="B22" s="144"/>
      <c r="C22" s="144"/>
      <c r="D22" s="144"/>
      <c r="E22" s="144"/>
      <c r="F22" s="144"/>
      <c r="G22" s="144"/>
      <c r="H22" s="144"/>
      <c r="I22" s="144"/>
    </row>
    <row r="23" spans="1:9">
      <c r="A23" s="144"/>
      <c r="B23" s="144"/>
      <c r="C23" s="144"/>
      <c r="D23" s="144"/>
      <c r="E23" s="144"/>
      <c r="F23" s="144"/>
      <c r="G23" s="144"/>
      <c r="H23" s="144"/>
      <c r="I23" s="144"/>
    </row>
    <row r="24" spans="1:9">
      <c r="A24" s="144"/>
      <c r="B24" s="144"/>
      <c r="C24" s="144"/>
      <c r="D24" s="144"/>
      <c r="E24" s="144"/>
      <c r="F24" s="144"/>
      <c r="G24" s="144"/>
      <c r="H24" s="144"/>
      <c r="I24" s="144"/>
    </row>
    <row r="25" spans="1:9">
      <c r="A25" s="144"/>
      <c r="B25" s="144"/>
      <c r="C25" s="144"/>
      <c r="D25" s="144"/>
      <c r="E25" s="144"/>
      <c r="F25" s="144"/>
      <c r="G25" s="144"/>
      <c r="H25" s="144"/>
      <c r="I25" s="144"/>
    </row>
    <row r="26" spans="1:9">
      <c r="A26" s="144"/>
      <c r="B26" s="144"/>
      <c r="C26" s="144"/>
      <c r="D26" s="144"/>
      <c r="E26" s="144"/>
      <c r="F26" s="144"/>
      <c r="G26" s="144"/>
      <c r="H26" s="144"/>
      <c r="I26" s="144"/>
    </row>
    <row r="27" spans="1:9">
      <c r="A27" s="144"/>
      <c r="B27" s="144"/>
      <c r="C27" s="144"/>
      <c r="D27" s="144"/>
      <c r="E27" s="144"/>
      <c r="F27" s="144"/>
      <c r="G27" s="144"/>
      <c r="H27" s="144"/>
      <c r="I27" s="144"/>
    </row>
    <row r="28" spans="1:9">
      <c r="A28" s="144"/>
      <c r="B28" s="144"/>
      <c r="C28" s="144"/>
      <c r="D28" s="144"/>
      <c r="E28" s="144"/>
      <c r="F28" s="144"/>
      <c r="G28" s="144"/>
      <c r="H28" s="144"/>
      <c r="I28" s="144"/>
    </row>
    <row r="29" spans="1:9">
      <c r="A29" s="144"/>
      <c r="B29" s="144"/>
      <c r="C29" s="144"/>
      <c r="D29" s="144"/>
      <c r="E29" s="144"/>
      <c r="F29" s="144"/>
      <c r="G29" s="144"/>
      <c r="H29" s="144"/>
      <c r="I29" s="144"/>
    </row>
    <row r="30" spans="1:9">
      <c r="A30" s="144"/>
      <c r="B30" s="144"/>
      <c r="C30" s="144"/>
      <c r="D30" s="144"/>
      <c r="E30" s="144"/>
      <c r="F30" s="144"/>
      <c r="G30" s="144"/>
      <c r="H30" s="144"/>
      <c r="I30" s="144"/>
    </row>
    <row r="31" spans="1:9">
      <c r="A31" s="144"/>
      <c r="B31" s="144"/>
      <c r="C31" s="144"/>
      <c r="D31" s="144"/>
      <c r="E31" s="144"/>
      <c r="F31" s="144"/>
      <c r="G31" s="144"/>
      <c r="H31" s="144"/>
      <c r="I31" s="144"/>
    </row>
    <row r="32" spans="1:9">
      <c r="A32" s="144"/>
      <c r="B32" s="144"/>
      <c r="C32" s="144"/>
      <c r="D32" s="144"/>
      <c r="E32" s="144"/>
      <c r="F32" s="144"/>
      <c r="G32" s="144"/>
      <c r="H32" s="144"/>
      <c r="I32" s="144"/>
    </row>
    <row r="33" spans="1:9">
      <c r="A33" s="144"/>
      <c r="B33" s="144"/>
      <c r="C33" s="144"/>
      <c r="D33" s="144"/>
      <c r="E33" s="144"/>
      <c r="F33" s="144"/>
      <c r="G33" s="144"/>
      <c r="H33" s="144"/>
      <c r="I33" s="144"/>
    </row>
    <row r="34" spans="1:9">
      <c r="A34" s="161"/>
      <c r="B34" s="144"/>
      <c r="C34" s="144"/>
      <c r="D34" s="144"/>
      <c r="E34" s="144"/>
      <c r="F34" s="144"/>
      <c r="G34" s="144"/>
      <c r="H34" s="144"/>
      <c r="I34" s="144"/>
    </row>
    <row r="35" spans="1:9">
      <c r="A35" s="144"/>
      <c r="B35" s="144"/>
      <c r="C35" s="144"/>
      <c r="D35" s="144"/>
      <c r="E35" s="144"/>
      <c r="F35" s="144"/>
      <c r="G35" s="144"/>
      <c r="H35" s="144"/>
      <c r="I35" s="144"/>
    </row>
    <row r="36" spans="1:9">
      <c r="A36" s="144"/>
      <c r="B36" s="144"/>
      <c r="C36" s="144"/>
      <c r="D36" s="144"/>
      <c r="E36" s="144"/>
      <c r="F36" s="144"/>
      <c r="G36" s="144"/>
      <c r="H36" s="144"/>
      <c r="I36" s="144"/>
    </row>
    <row r="37" spans="1:9">
      <c r="A37" s="144"/>
      <c r="B37" s="144"/>
      <c r="C37" s="144"/>
      <c r="D37" s="144"/>
      <c r="E37" s="144"/>
      <c r="F37" s="144"/>
      <c r="G37" s="144"/>
      <c r="H37" s="144"/>
      <c r="I37" s="144"/>
    </row>
    <row r="38" spans="1:9">
      <c r="A38" s="144"/>
      <c r="B38" s="144"/>
      <c r="C38" s="144"/>
      <c r="D38" s="144"/>
      <c r="E38" s="144"/>
      <c r="F38" s="144"/>
      <c r="G38" s="144"/>
      <c r="H38" s="144"/>
      <c r="I38" s="144"/>
    </row>
    <row r="39" spans="1:9">
      <c r="A39" s="144"/>
      <c r="B39" s="144"/>
      <c r="C39" s="144"/>
      <c r="D39" s="144"/>
      <c r="E39" s="144"/>
      <c r="F39" s="144"/>
      <c r="G39" s="144"/>
      <c r="H39" s="144"/>
      <c r="I39" s="144"/>
    </row>
    <row r="40" spans="1:9">
      <c r="A40" s="144"/>
      <c r="B40" s="144"/>
      <c r="C40" s="144"/>
      <c r="D40" s="144"/>
      <c r="E40" s="144"/>
      <c r="F40" s="144"/>
      <c r="G40" s="144"/>
      <c r="H40" s="144"/>
      <c r="I40" s="144"/>
    </row>
    <row r="41" spans="1:9">
      <c r="A41" s="144"/>
      <c r="B41" s="144"/>
      <c r="C41" s="144"/>
      <c r="D41" s="144"/>
      <c r="E41" s="144"/>
      <c r="F41" s="144"/>
      <c r="G41" s="144"/>
      <c r="H41" s="144"/>
      <c r="I41" s="144"/>
    </row>
    <row r="42" spans="1:9">
      <c r="A42" s="144"/>
      <c r="B42" s="144"/>
      <c r="C42" s="144"/>
      <c r="D42" s="144"/>
      <c r="E42" s="144"/>
      <c r="F42" s="144"/>
      <c r="G42" s="144"/>
      <c r="H42" s="144"/>
      <c r="I42" s="144"/>
    </row>
    <row r="43" spans="1:9">
      <c r="A43" s="144"/>
      <c r="B43" s="144"/>
      <c r="C43" s="144"/>
      <c r="D43" s="144"/>
      <c r="E43" s="144"/>
      <c r="F43" s="144"/>
      <c r="G43" s="144"/>
      <c r="H43" s="144"/>
      <c r="I43" s="144"/>
    </row>
    <row r="44" spans="1:9">
      <c r="A44" s="144"/>
      <c r="B44" s="144"/>
      <c r="C44" s="144"/>
      <c r="D44" s="144"/>
      <c r="E44" s="144"/>
      <c r="F44" s="144"/>
      <c r="G44" s="144"/>
      <c r="H44" s="144"/>
      <c r="I44" s="144"/>
    </row>
    <row r="45" spans="1:9">
      <c r="A45" s="144"/>
      <c r="B45" s="144"/>
      <c r="C45" s="144"/>
      <c r="D45" s="144"/>
      <c r="E45" s="144"/>
      <c r="F45" s="144"/>
      <c r="G45" s="144"/>
      <c r="H45" s="144"/>
      <c r="I45" s="144"/>
    </row>
    <row r="46" spans="1:9">
      <c r="A46" s="144"/>
      <c r="B46" s="144"/>
      <c r="C46" s="144"/>
      <c r="D46" s="144"/>
      <c r="E46" s="144"/>
      <c r="F46" s="144"/>
      <c r="G46" s="144"/>
      <c r="H46" s="144" t="s">
        <v>18</v>
      </c>
      <c r="I46" s="144"/>
    </row>
    <row r="47" spans="1:9">
      <c r="A47" s="144"/>
      <c r="B47" s="144"/>
      <c r="C47" s="144"/>
      <c r="D47" s="144"/>
      <c r="E47" s="144"/>
      <c r="F47" s="144"/>
      <c r="G47" s="144"/>
      <c r="H47" s="144"/>
      <c r="I47" s="144"/>
    </row>
    <row r="48" spans="1:9">
      <c r="A48" s="144"/>
      <c r="B48" s="144"/>
      <c r="C48" s="144"/>
      <c r="D48" s="144"/>
      <c r="E48" s="144"/>
      <c r="F48" s="144"/>
      <c r="G48" s="144"/>
      <c r="H48" s="144"/>
      <c r="I48" s="144"/>
    </row>
    <row r="49" spans="1:9">
      <c r="A49" s="144"/>
      <c r="B49" s="144"/>
      <c r="C49" s="144"/>
      <c r="D49" s="144"/>
      <c r="E49" s="144"/>
      <c r="F49" s="144"/>
      <c r="G49" s="144"/>
      <c r="H49" s="144"/>
      <c r="I49" s="144"/>
    </row>
    <row r="50" spans="1:9">
      <c r="A50" s="144"/>
      <c r="B50" s="144"/>
      <c r="C50" s="144"/>
      <c r="D50" s="144"/>
      <c r="E50" s="144"/>
      <c r="F50" s="144"/>
      <c r="G50" s="144"/>
      <c r="H50" s="144"/>
      <c r="I50" s="144"/>
    </row>
    <row r="51" spans="1:9">
      <c r="A51" s="144"/>
      <c r="B51" s="144"/>
      <c r="C51" s="144"/>
      <c r="D51" s="144"/>
      <c r="E51" s="144"/>
      <c r="F51" s="144"/>
      <c r="G51" s="144"/>
      <c r="H51" s="144"/>
      <c r="I51" s="144"/>
    </row>
    <row r="52" spans="1:9">
      <c r="A52" s="144"/>
      <c r="B52" s="144"/>
      <c r="C52" s="144"/>
      <c r="D52" s="144"/>
      <c r="E52" s="144"/>
      <c r="F52" s="144"/>
      <c r="G52" s="144"/>
      <c r="H52" s="144"/>
      <c r="I52" s="144"/>
    </row>
    <row r="53" spans="1:9">
      <c r="A53" s="144"/>
      <c r="B53" s="144"/>
      <c r="C53" s="144"/>
      <c r="D53" s="144"/>
      <c r="E53" s="144"/>
      <c r="F53" s="144"/>
      <c r="G53" s="144"/>
      <c r="H53" s="144"/>
      <c r="I53" s="144"/>
    </row>
    <row r="54" spans="1:9">
      <c r="A54" s="144"/>
      <c r="B54" s="144"/>
      <c r="C54" s="144"/>
      <c r="D54" s="144"/>
      <c r="E54" s="144"/>
      <c r="F54" s="144"/>
      <c r="G54" s="144"/>
      <c r="H54" s="144"/>
      <c r="I54" s="144"/>
    </row>
    <row r="55" spans="1:9">
      <c r="A55" s="144"/>
      <c r="B55" s="144"/>
      <c r="C55" s="144"/>
      <c r="D55" s="144"/>
      <c r="E55" s="144"/>
      <c r="F55" s="144"/>
      <c r="G55" s="144"/>
      <c r="H55" s="144"/>
      <c r="I55" s="144"/>
    </row>
    <row r="56" spans="1:9">
      <c r="A56" s="144"/>
      <c r="B56" s="144"/>
      <c r="C56" s="144"/>
      <c r="D56" s="144"/>
      <c r="E56" s="144"/>
      <c r="F56" s="144"/>
      <c r="G56" s="144"/>
      <c r="H56" s="144"/>
      <c r="I56" s="144"/>
    </row>
    <row r="57" spans="1:9">
      <c r="A57" s="144"/>
      <c r="B57" s="144"/>
      <c r="C57" s="144"/>
      <c r="D57" s="144"/>
      <c r="E57" s="144"/>
      <c r="F57" s="144"/>
      <c r="G57" s="144"/>
      <c r="H57" s="144"/>
      <c r="I57" s="144"/>
    </row>
    <row r="58" spans="1:9">
      <c r="A58" s="144"/>
      <c r="B58" s="144"/>
      <c r="C58" s="144"/>
      <c r="D58" s="144"/>
      <c r="E58" s="144"/>
      <c r="F58" s="144"/>
      <c r="G58" s="144"/>
    </row>
    <row r="59" spans="1:9">
      <c r="A59" s="144"/>
      <c r="B59" s="144"/>
      <c r="C59" s="144"/>
      <c r="D59" s="144"/>
      <c r="E59" s="144"/>
      <c r="F59" s="144"/>
      <c r="G59" s="144"/>
    </row>
    <row r="60" spans="1:9">
      <c r="A60" s="144"/>
      <c r="B60" s="144"/>
      <c r="C60" s="144"/>
      <c r="D60" s="144"/>
      <c r="E60" s="144"/>
      <c r="F60" s="144"/>
      <c r="G60" s="144"/>
    </row>
    <row r="61" spans="1:9">
      <c r="A61" s="144"/>
    </row>
  </sheetData>
  <mergeCells count="5">
    <mergeCell ref="A4:G4"/>
    <mergeCell ref="B5:G5"/>
    <mergeCell ref="B6:G6"/>
    <mergeCell ref="B7:G7"/>
    <mergeCell ref="B8:G8"/>
  </mergeCells>
  <pageMargins left="0.7" right="0.7" top="0.75" bottom="0.75" header="0.3" footer="0.3"/>
  <pageSetup paperSize="9" scale="6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A65"/>
  <sheetViews>
    <sheetView showGridLines="0" view="pageBreakPreview" zoomScale="85" zoomScaleNormal="70" zoomScaleSheetLayoutView="85" workbookViewId="0">
      <selection activeCell="F42" sqref="F42"/>
    </sheetView>
  </sheetViews>
  <sheetFormatPr defaultColWidth="9.28515625" defaultRowHeight="13.15"/>
  <cols>
    <col min="1" max="1" width="9.7109375" style="58" customWidth="1"/>
    <col min="2" max="2" width="24.140625" style="58" customWidth="1"/>
    <col min="3" max="3" width="9.7109375" style="61" customWidth="1"/>
    <col min="4" max="4" width="16.7109375" style="1" customWidth="1"/>
    <col min="5" max="5" width="17.28515625" style="58" customWidth="1"/>
    <col min="6" max="6" width="17.5703125" style="58" customWidth="1"/>
    <col min="7" max="7" width="22.42578125" style="58" customWidth="1"/>
    <col min="8" max="8" width="2.140625" style="58" customWidth="1"/>
    <col min="9" max="9" width="9.7109375" style="58" customWidth="1"/>
    <col min="10" max="10" width="12.28515625" style="58" customWidth="1"/>
    <col min="11" max="11" width="21.85546875" style="58" customWidth="1"/>
    <col min="12" max="12" width="25.5703125" style="58" customWidth="1"/>
    <col min="13" max="13" width="11.42578125" style="58" customWidth="1"/>
    <col min="14" max="14" width="38.28515625" style="59" customWidth="1"/>
    <col min="15" max="15" width="49.28515625" style="1" customWidth="1"/>
    <col min="16" max="16" width="9.7109375" style="58" customWidth="1"/>
    <col min="17" max="17" width="11.42578125" style="58" customWidth="1"/>
    <col min="18" max="18" width="38" style="58" customWidth="1"/>
    <col min="19" max="24" width="11.42578125" style="58" customWidth="1"/>
    <col min="25" max="27" width="11.42578125" style="58" hidden="1" customWidth="1"/>
    <col min="28" max="256" width="11.42578125" style="58" customWidth="1"/>
    <col min="257" max="16384" width="9.28515625" style="58"/>
  </cols>
  <sheetData>
    <row r="1" spans="1:27" ht="18" customHeight="1">
      <c r="H1" s="243"/>
      <c r="I1" s="127"/>
      <c r="J1" s="127"/>
      <c r="K1" s="127"/>
      <c r="L1" s="127"/>
      <c r="M1" s="127"/>
      <c r="N1" s="269"/>
      <c r="O1" s="112"/>
    </row>
    <row r="2" spans="1:27">
      <c r="C2" s="316" t="s">
        <v>19</v>
      </c>
      <c r="D2" s="316"/>
      <c r="E2" s="316"/>
      <c r="H2" s="194"/>
      <c r="N2" s="270"/>
      <c r="O2" s="275"/>
    </row>
    <row r="3" spans="1:27">
      <c r="C3" s="316"/>
      <c r="D3" s="316"/>
      <c r="E3" s="316"/>
      <c r="H3" s="194"/>
      <c r="N3" s="270"/>
      <c r="O3" s="275"/>
    </row>
    <row r="4" spans="1:27" s="60" customFormat="1" ht="13.5" customHeight="1" thickBot="1">
      <c r="H4" s="191"/>
      <c r="K4" s="81" t="s">
        <v>20</v>
      </c>
      <c r="N4" s="283" t="s">
        <v>21</v>
      </c>
      <c r="O4" s="276" t="s">
        <v>22</v>
      </c>
    </row>
    <row r="5" spans="1:27" ht="14.45" thickBot="1">
      <c r="A5" s="310" t="s">
        <v>23</v>
      </c>
      <c r="B5" s="311"/>
      <c r="C5" s="146"/>
      <c r="H5" s="243"/>
      <c r="I5" s="304" t="s">
        <v>24</v>
      </c>
      <c r="J5" s="127"/>
      <c r="K5" s="127"/>
      <c r="L5" s="293"/>
      <c r="M5" s="305" t="s">
        <v>25</v>
      </c>
      <c r="N5" s="296"/>
      <c r="O5" s="271"/>
      <c r="Y5" s="235" t="s">
        <v>26</v>
      </c>
      <c r="Z5" s="267">
        <f>C19-C20</f>
        <v>5.9999999999999942E-2</v>
      </c>
      <c r="AA5" s="268" t="s">
        <v>27</v>
      </c>
    </row>
    <row r="6" spans="1:27" ht="15.6">
      <c r="A6" s="149" t="s">
        <v>14</v>
      </c>
      <c r="B6" s="131"/>
      <c r="C6" s="130"/>
      <c r="D6" s="132"/>
      <c r="H6" s="194"/>
      <c r="I6" s="64" t="s">
        <v>28</v>
      </c>
      <c r="J6" s="66" t="s">
        <v>29</v>
      </c>
      <c r="L6" s="253">
        <f>C28/C33</f>
        <v>16.666666666666668</v>
      </c>
      <c r="M6" s="306" t="s">
        <v>30</v>
      </c>
      <c r="N6" s="296"/>
      <c r="O6" s="271"/>
      <c r="P6" s="68"/>
    </row>
    <row r="7" spans="1:27" ht="15.6">
      <c r="A7" s="309" t="s">
        <v>31</v>
      </c>
      <c r="B7" s="309" t="s">
        <v>32</v>
      </c>
      <c r="H7" s="194"/>
      <c r="I7" s="64" t="s">
        <v>33</v>
      </c>
      <c r="J7" s="254"/>
      <c r="L7" s="255">
        <f>HLOOKUP(C28,ResistanceBeton,8,FALSE)</f>
        <v>2.5649639200150443</v>
      </c>
      <c r="M7" s="193" t="s">
        <v>30</v>
      </c>
      <c r="N7" s="197" t="s">
        <v>34</v>
      </c>
      <c r="O7" s="271"/>
      <c r="P7" s="258"/>
    </row>
    <row r="8" spans="1:27" ht="15.6">
      <c r="H8" s="194"/>
      <c r="I8" s="64" t="s">
        <v>35</v>
      </c>
      <c r="J8" s="66" t="s">
        <v>36</v>
      </c>
      <c r="L8" s="256">
        <f>C29/C34</f>
        <v>434.78260869565219</v>
      </c>
      <c r="M8" s="193" t="s">
        <v>30</v>
      </c>
      <c r="N8" s="296"/>
      <c r="O8" s="271"/>
      <c r="P8" s="68"/>
    </row>
    <row r="9" spans="1:27" s="68" customFormat="1" ht="15.6">
      <c r="A9" s="171" t="s">
        <v>37</v>
      </c>
      <c r="B9" s="171"/>
      <c r="C9" s="172"/>
      <c r="D9" s="173" t="s">
        <v>25</v>
      </c>
      <c r="E9" s="171"/>
      <c r="F9" s="171"/>
      <c r="G9" s="171"/>
      <c r="H9" s="294"/>
      <c r="I9" s="224" t="s">
        <v>38</v>
      </c>
      <c r="L9" s="284">
        <f>HLOOKUP(C28,ResistanceBeton,14,FALSE)</f>
        <v>31.475806210019346</v>
      </c>
      <c r="M9" s="193" t="s">
        <v>39</v>
      </c>
      <c r="N9" s="297"/>
      <c r="O9" s="285"/>
    </row>
    <row r="10" spans="1:27">
      <c r="B10" s="62" t="s">
        <v>40</v>
      </c>
      <c r="H10" s="194"/>
      <c r="J10" s="60"/>
      <c r="K10" s="257"/>
      <c r="L10" s="258"/>
      <c r="M10" s="249"/>
      <c r="N10" s="296"/>
      <c r="O10" s="271"/>
      <c r="P10" s="258"/>
    </row>
    <row r="11" spans="1:27" ht="15.6">
      <c r="B11" s="64" t="s">
        <v>41</v>
      </c>
      <c r="C11" s="150">
        <v>0.22253000000000001</v>
      </c>
      <c r="D11" s="65" t="s">
        <v>42</v>
      </c>
      <c r="H11" s="194"/>
      <c r="I11" s="63" t="s">
        <v>43</v>
      </c>
      <c r="L11" s="59"/>
      <c r="M11" s="275"/>
      <c r="N11" s="296"/>
      <c r="O11" s="271"/>
    </row>
    <row r="12" spans="1:27" ht="15.75" customHeight="1">
      <c r="A12" s="68"/>
      <c r="B12" s="64" t="s">
        <v>44</v>
      </c>
      <c r="C12" s="151" t="s">
        <v>45</v>
      </c>
      <c r="D12" s="65"/>
      <c r="G12"/>
      <c r="H12" s="194"/>
      <c r="I12" s="72" t="s">
        <v>46</v>
      </c>
      <c r="J12" s="66" t="s">
        <v>47</v>
      </c>
      <c r="L12" s="259" t="str">
        <f>IF(OR(G17="R",P14="car M &lt; 0"),"inutile",C25*C24*L6)</f>
        <v>inutile</v>
      </c>
      <c r="M12" s="275" t="s">
        <v>48</v>
      </c>
      <c r="N12" s="296"/>
      <c r="O12" s="271"/>
    </row>
    <row r="13" spans="1:27" ht="15.75" customHeight="1">
      <c r="A13" s="68"/>
      <c r="B13" s="64"/>
      <c r="C13" s="125"/>
      <c r="G13"/>
      <c r="H13" s="194"/>
      <c r="I13" s="72" t="s">
        <v>49</v>
      </c>
      <c r="J13" s="58" t="s">
        <v>50</v>
      </c>
      <c r="L13" s="259" t="str">
        <f>IF(OR(G17="R",P14="car M &lt; 0"),"inutile",C20-(C24/2))</f>
        <v>inutile</v>
      </c>
      <c r="M13" s="275" t="s">
        <v>27</v>
      </c>
      <c r="N13" s="296"/>
      <c r="O13" s="271"/>
    </row>
    <row r="14" spans="1:27" ht="15.75" customHeight="1">
      <c r="H14" s="194"/>
      <c r="I14" s="72" t="s">
        <v>51</v>
      </c>
      <c r="J14" s="58" t="s">
        <v>52</v>
      </c>
      <c r="L14" s="260">
        <f>IF(OR(G17="R",C12="-"),0,L12*L13)</f>
        <v>0</v>
      </c>
      <c r="M14" s="196" t="s">
        <v>42</v>
      </c>
      <c r="N14" s="296"/>
      <c r="O14" s="271"/>
      <c r="P14" s="59" t="str">
        <f>IF(C12="-","car M &lt; 0","")</f>
        <v/>
      </c>
    </row>
    <row r="15" spans="1:27" ht="15.75" customHeight="1">
      <c r="H15" s="194"/>
      <c r="I15" s="72"/>
      <c r="L15" s="59"/>
      <c r="M15" s="275"/>
      <c r="N15" s="296"/>
      <c r="O15" s="271"/>
    </row>
    <row r="16" spans="1:27" s="68" customFormat="1">
      <c r="A16" s="171" t="s">
        <v>53</v>
      </c>
      <c r="B16" s="174"/>
      <c r="C16" s="172"/>
      <c r="D16" s="175"/>
      <c r="E16" s="174"/>
      <c r="F16" s="174"/>
      <c r="G16" s="174"/>
      <c r="H16" s="294"/>
      <c r="I16" s="286" t="s">
        <v>54</v>
      </c>
      <c r="L16" s="287"/>
      <c r="M16" s="249"/>
      <c r="N16" s="297"/>
      <c r="O16" s="285"/>
    </row>
    <row r="17" spans="1:16" ht="15.75" customHeight="1">
      <c r="B17" s="63" t="s">
        <v>55</v>
      </c>
      <c r="C17" s="71"/>
      <c r="D17" s="72"/>
      <c r="E17" s="68" t="s">
        <v>56</v>
      </c>
      <c r="G17" s="295" t="s">
        <v>57</v>
      </c>
      <c r="H17" s="194"/>
      <c r="I17" s="1" t="str">
        <f>IF(C11&gt;L14,"Mu &gt; MTu","Mu &lt; MTu")</f>
        <v>Mu &gt; MTu</v>
      </c>
      <c r="J17" s="72" t="str">
        <f>IF(G17="R","Section rectangulaire : b0*h",IF(C11&gt;L14,"Poutre en T","Section rectangulaire : b*h"))</f>
        <v>Section rectangulaire : b0*h</v>
      </c>
      <c r="L17" s="65"/>
      <c r="M17" s="275"/>
      <c r="N17" s="296"/>
      <c r="O17" s="271"/>
    </row>
    <row r="18" spans="1:16" ht="15.75" customHeight="1">
      <c r="B18" s="72" t="s">
        <v>58</v>
      </c>
      <c r="C18" s="152">
        <v>0.18</v>
      </c>
      <c r="D18" s="1" t="s">
        <v>27</v>
      </c>
      <c r="H18" s="194"/>
      <c r="K18" s="74" t="str">
        <f>IF(L10&gt;L14,"puis Mu = Mu1 = ","b0 = ")</f>
        <v xml:space="preserve">b0 = </v>
      </c>
      <c r="L18" s="260">
        <f>IF(OR(L14=0,J17="Poutre en T"),C18,C25)</f>
        <v>0.18</v>
      </c>
      <c r="M18" s="275" t="str">
        <f>IF(L10&gt;L14,"kN.m","m")</f>
        <v>m</v>
      </c>
      <c r="N18" s="296"/>
      <c r="O18" s="271"/>
      <c r="P18" s="58" t="str">
        <f>P14</f>
        <v/>
      </c>
    </row>
    <row r="19" spans="1:16" ht="15.75" customHeight="1">
      <c r="B19" s="72" t="s">
        <v>59</v>
      </c>
      <c r="C19" s="152">
        <v>0.6</v>
      </c>
      <c r="D19" s="1" t="s">
        <v>27</v>
      </c>
      <c r="H19" s="194"/>
      <c r="I19" s="62" t="s">
        <v>60</v>
      </c>
      <c r="L19" s="59"/>
      <c r="M19" s="275"/>
      <c r="N19" s="296"/>
      <c r="O19" s="271"/>
    </row>
    <row r="20" spans="1:16" ht="15.6">
      <c r="B20" s="64" t="s">
        <v>61</v>
      </c>
      <c r="C20" s="153">
        <f>0.9*C19</f>
        <v>0.54</v>
      </c>
      <c r="D20" s="1" t="s">
        <v>27</v>
      </c>
      <c r="F20" s="61"/>
      <c r="G20" s="1"/>
      <c r="H20" s="194"/>
      <c r="I20" s="273" t="s">
        <v>62</v>
      </c>
      <c r="J20" s="66" t="s">
        <v>63</v>
      </c>
      <c r="K20" s="257"/>
      <c r="L20" s="261">
        <f>(C11-IF(OR(I17="Mu &lt; MTu",G17="R"),0,L14*(1-L18/C25)))/(L18*C20^2*L6)</f>
        <v>0.25437814357567445</v>
      </c>
      <c r="M20" s="249"/>
      <c r="N20" s="296"/>
      <c r="O20" s="271"/>
    </row>
    <row r="21" spans="1:16" ht="15.6">
      <c r="B21" s="72" t="s">
        <v>64</v>
      </c>
      <c r="C21" s="152">
        <v>0.06</v>
      </c>
      <c r="D21" s="1" t="s">
        <v>27</v>
      </c>
      <c r="H21" s="194"/>
      <c r="I21" s="273" t="s">
        <v>65</v>
      </c>
      <c r="J21" s="75" t="s">
        <v>66</v>
      </c>
      <c r="L21" s="76">
        <f>IF(C29=500,0.371,0.392)</f>
        <v>0.371</v>
      </c>
      <c r="M21" s="275"/>
      <c r="N21" s="296"/>
      <c r="O21" s="271"/>
    </row>
    <row r="22" spans="1:16" ht="15.6">
      <c r="C22" s="176"/>
      <c r="H22" s="194"/>
      <c r="I22" s="273" t="s">
        <v>67</v>
      </c>
      <c r="J22" s="66" t="s">
        <v>68</v>
      </c>
      <c r="L22" s="183">
        <f>1.25*(1-SQRT(1-2*L20))</f>
        <v>0.37389024584472452</v>
      </c>
      <c r="M22" s="249"/>
      <c r="N22" s="296"/>
      <c r="O22" s="271"/>
    </row>
    <row r="23" spans="1:16">
      <c r="B23" s="63" t="s">
        <v>69</v>
      </c>
      <c r="C23" s="73"/>
      <c r="H23" s="194"/>
      <c r="I23" s="273" t="s">
        <v>70</v>
      </c>
      <c r="J23" s="66" t="s">
        <v>71</v>
      </c>
      <c r="L23" s="183">
        <f>1-0.4*L22</f>
        <v>0.85044390166211015</v>
      </c>
      <c r="M23" s="249"/>
      <c r="N23" s="296"/>
      <c r="O23" s="271"/>
    </row>
    <row r="24" spans="1:16" ht="15.6">
      <c r="B24" s="72" t="s">
        <v>72</v>
      </c>
      <c r="C24" s="152">
        <v>1</v>
      </c>
      <c r="D24" s="1" t="s">
        <v>27</v>
      </c>
      <c r="H24" s="194"/>
      <c r="I24" s="64" t="s">
        <v>73</v>
      </c>
      <c r="J24" s="66" t="s">
        <v>74</v>
      </c>
      <c r="L24" s="76" t="str">
        <f>IF(L20&lt;0.0561,"A","B")</f>
        <v>B</v>
      </c>
      <c r="M24" s="275"/>
      <c r="N24" s="296"/>
      <c r="O24" s="271"/>
    </row>
    <row r="25" spans="1:16" ht="15.6">
      <c r="B25" s="72" t="s">
        <v>70</v>
      </c>
      <c r="C25" s="152">
        <v>2</v>
      </c>
      <c r="D25" s="1" t="s">
        <v>27</v>
      </c>
      <c r="H25" s="194"/>
      <c r="I25" s="273" t="s">
        <v>75</v>
      </c>
      <c r="L25" s="77">
        <f>IF(L24="A",L26*L22/(1-L22),HLOOKUP(C28,ResistanceBeton,30,FALSE)*10^-3)</f>
        <v>3.5000000000000001E-3</v>
      </c>
      <c r="M25" s="275"/>
      <c r="N25" s="296"/>
      <c r="O25" s="271"/>
    </row>
    <row r="26" spans="1:16" ht="15.6">
      <c r="H26" s="194"/>
      <c r="I26" s="273" t="s">
        <v>76</v>
      </c>
      <c r="L26" s="77">
        <f>IF(L24="A",4.5%,L25*(1-L22)/L22)</f>
        <v>5.8610358625229807E-3</v>
      </c>
      <c r="M26" s="275"/>
      <c r="N26" s="296"/>
      <c r="O26" s="271"/>
    </row>
    <row r="27" spans="1:16" s="68" customFormat="1" ht="15.6">
      <c r="A27" s="171" t="s">
        <v>24</v>
      </c>
      <c r="B27" s="174"/>
      <c r="C27" s="172"/>
      <c r="D27" s="175"/>
      <c r="E27" s="174"/>
      <c r="F27" s="174"/>
      <c r="G27" s="174"/>
      <c r="H27" s="294"/>
      <c r="I27" s="288" t="s">
        <v>77</v>
      </c>
      <c r="J27" s="216" t="s">
        <v>78</v>
      </c>
      <c r="L27" s="289">
        <f>IF(C30="B1",(L26-L8/200000)/(5%-L8/200000)*0.08*L8,0)</f>
        <v>0</v>
      </c>
      <c r="M27" s="193" t="s">
        <v>30</v>
      </c>
      <c r="N27" s="297"/>
      <c r="O27" s="285"/>
    </row>
    <row r="28" spans="1:16" ht="15.6">
      <c r="B28" s="64" t="s">
        <v>79</v>
      </c>
      <c r="C28" s="150">
        <v>25</v>
      </c>
      <c r="D28" s="67" t="s">
        <v>30</v>
      </c>
      <c r="H28" s="194"/>
      <c r="I28" s="273" t="s">
        <v>80</v>
      </c>
      <c r="J28" s="66" t="s">
        <v>81</v>
      </c>
      <c r="L28" s="79">
        <f>IF(L26&lt;L8/200000,200000*L26,L8+L27)</f>
        <v>434.78260869565219</v>
      </c>
      <c r="M28" s="196" t="s">
        <v>30</v>
      </c>
      <c r="N28" s="296"/>
      <c r="O28" s="271"/>
    </row>
    <row r="29" spans="1:16" ht="15.6">
      <c r="B29" s="64" t="s">
        <v>82</v>
      </c>
      <c r="C29" s="150">
        <v>500</v>
      </c>
      <c r="D29" s="67" t="s">
        <v>30</v>
      </c>
      <c r="H29" s="194"/>
      <c r="L29" s="59"/>
      <c r="M29" s="275"/>
      <c r="N29" s="296"/>
      <c r="O29" s="271"/>
    </row>
    <row r="30" spans="1:16">
      <c r="B30" s="64" t="s">
        <v>83</v>
      </c>
      <c r="C30" s="151" t="s">
        <v>84</v>
      </c>
      <c r="H30" s="194"/>
      <c r="I30" s="62" t="s">
        <v>85</v>
      </c>
      <c r="L30" s="59"/>
      <c r="M30" s="275"/>
      <c r="N30" s="296"/>
      <c r="O30" s="271"/>
    </row>
    <row r="31" spans="1:16" ht="15.6">
      <c r="H31" s="194"/>
      <c r="I31" s="96" t="s">
        <v>86</v>
      </c>
      <c r="J31" s="81" t="str">
        <f>IF(L20&gt;L21,"≥","&lt;")</f>
        <v>&lt;</v>
      </c>
      <c r="K31" s="299" t="s">
        <v>87</v>
      </c>
      <c r="L31" s="300" t="str">
        <f>IF(J31="&lt;","A' = 0","A' &gt; 0")</f>
        <v>A' = 0</v>
      </c>
      <c r="M31" s="275"/>
      <c r="N31" s="296"/>
      <c r="O31" s="271"/>
    </row>
    <row r="32" spans="1:16" ht="15.6">
      <c r="B32" s="62" t="s">
        <v>88</v>
      </c>
      <c r="H32" s="194"/>
      <c r="I32" s="64" t="s">
        <v>89</v>
      </c>
      <c r="J32" s="66" t="s">
        <v>90</v>
      </c>
      <c r="L32" s="76" t="str">
        <f>IF(J31="&lt;","inutile",IF(G17="T",C25,C18))</f>
        <v>inutile</v>
      </c>
      <c r="M32" s="196" t="s">
        <v>27</v>
      </c>
      <c r="N32" s="296"/>
      <c r="O32" s="271"/>
    </row>
    <row r="33" spans="1:20" ht="17.45">
      <c r="B33" s="78" t="s">
        <v>91</v>
      </c>
      <c r="C33" s="152">
        <v>1.5</v>
      </c>
      <c r="E33" s="66"/>
      <c r="H33" s="194"/>
      <c r="I33" s="64" t="s">
        <v>92</v>
      </c>
      <c r="J33" s="262" t="s">
        <v>93</v>
      </c>
      <c r="L33" s="259" t="str">
        <f>IF(L20&gt;L21,L21*L32*C20^2*L6,"inutile")</f>
        <v>inutile</v>
      </c>
      <c r="M33" s="196" t="s">
        <v>42</v>
      </c>
      <c r="N33" s="296"/>
      <c r="O33" s="271"/>
    </row>
    <row r="34" spans="1:20" ht="18.75" customHeight="1">
      <c r="B34" s="78" t="s">
        <v>94</v>
      </c>
      <c r="C34" s="152">
        <v>1.1499999999999999</v>
      </c>
      <c r="F34" s="66"/>
      <c r="H34" s="194"/>
      <c r="I34" s="274" t="s">
        <v>95</v>
      </c>
      <c r="J34" s="66" t="s">
        <v>96</v>
      </c>
      <c r="K34" s="68"/>
      <c r="L34" s="76" t="str">
        <f>IF(J31="&lt;","inutile",C21/C20)</f>
        <v>inutile</v>
      </c>
      <c r="M34" s="249"/>
      <c r="N34" s="296"/>
      <c r="O34" s="271"/>
    </row>
    <row r="35" spans="1:20" ht="18" customHeight="1">
      <c r="A35" s="80"/>
      <c r="B35" s="72" t="s">
        <v>97</v>
      </c>
      <c r="C35" s="150">
        <v>15</v>
      </c>
      <c r="H35" s="194"/>
      <c r="I35" s="274" t="s">
        <v>98</v>
      </c>
      <c r="J35" s="82" t="s">
        <v>99</v>
      </c>
      <c r="L35" s="263" t="str">
        <f>IF(J31="&lt;","inutile",L25*(L22-L34)/L22)</f>
        <v>inutile</v>
      </c>
      <c r="M35" s="275"/>
      <c r="N35" s="296"/>
      <c r="O35" s="271"/>
    </row>
    <row r="36" spans="1:20" ht="15.6">
      <c r="A36" s="60"/>
      <c r="H36" s="194"/>
      <c r="I36" s="273" t="s">
        <v>100</v>
      </c>
      <c r="J36" s="66" t="s">
        <v>78</v>
      </c>
      <c r="L36" s="79" t="str">
        <f>IF(J31="&lt;","inutile",IF(C30="B1",(L35-L8/200000)/(5%-L8/200000)*0.08*L8,0))</f>
        <v>inutile</v>
      </c>
      <c r="M36" s="196" t="s">
        <v>30</v>
      </c>
      <c r="N36" s="296"/>
      <c r="O36" s="271"/>
    </row>
    <row r="37" spans="1:20" ht="15.6">
      <c r="C37" s="58"/>
      <c r="D37" s="58"/>
      <c r="H37" s="194"/>
      <c r="I37" s="273" t="s">
        <v>101</v>
      </c>
      <c r="J37" s="66" t="s">
        <v>81</v>
      </c>
      <c r="L37" s="79" t="str">
        <f>IF(J31="&lt;","inutile",IF(L35&lt;L8/200000,200000*L26,L8+L36))</f>
        <v>inutile</v>
      </c>
      <c r="M37" s="196" t="s">
        <v>30</v>
      </c>
      <c r="N37" s="296"/>
      <c r="O37" s="271"/>
    </row>
    <row r="38" spans="1:20" ht="17.45">
      <c r="A38" s="291" t="s">
        <v>102</v>
      </c>
      <c r="B38" s="290"/>
      <c r="C38" s="175"/>
      <c r="D38" s="174"/>
      <c r="E38" s="174"/>
      <c r="F38" s="174"/>
      <c r="G38" s="174"/>
      <c r="H38" s="194"/>
      <c r="I38" s="72" t="s">
        <v>103</v>
      </c>
      <c r="J38" s="66" t="s">
        <v>104</v>
      </c>
      <c r="L38" s="264">
        <f>IF(J31="&lt;",0,10000*(C11-L33)/(L37*(C20-C21)))</f>
        <v>0</v>
      </c>
      <c r="M38" s="275" t="s">
        <v>105</v>
      </c>
      <c r="N38" s="296"/>
      <c r="O38" s="271"/>
    </row>
    <row r="39" spans="1:20" ht="18.600000000000001" thickBot="1">
      <c r="A39" s="128" t="s">
        <v>106</v>
      </c>
      <c r="B39" s="129"/>
      <c r="H39" s="194"/>
      <c r="L39" s="96"/>
      <c r="M39" s="275"/>
      <c r="N39" s="296"/>
      <c r="O39" s="271"/>
    </row>
    <row r="40" spans="1:20" ht="16.149999999999999" thickBot="1">
      <c r="A40" s="158" t="s">
        <v>107</v>
      </c>
      <c r="B40" s="154" t="s">
        <v>108</v>
      </c>
      <c r="C40" s="86"/>
      <c r="D40" s="147">
        <f>L38</f>
        <v>0</v>
      </c>
      <c r="E40" s="126" t="s">
        <v>105</v>
      </c>
      <c r="F40" s="75" t="s">
        <v>109</v>
      </c>
      <c r="H40" s="194"/>
      <c r="I40" s="83" t="s">
        <v>110</v>
      </c>
      <c r="L40" s="265"/>
      <c r="M40" s="275"/>
      <c r="N40" s="296"/>
      <c r="O40" s="271"/>
    </row>
    <row r="41" spans="1:20" ht="16.149999999999999" thickBot="1">
      <c r="A41" s="81"/>
      <c r="B41" s="155" t="s">
        <v>111</v>
      </c>
      <c r="C41" s="169"/>
      <c r="D41" s="170">
        <v>0</v>
      </c>
      <c r="E41" s="126" t="s">
        <v>105</v>
      </c>
      <c r="H41" s="194"/>
      <c r="I41" s="72" t="s">
        <v>112</v>
      </c>
      <c r="J41" s="66" t="s">
        <v>113</v>
      </c>
      <c r="L41" s="114">
        <f>IF(AND(G17="R",L31="A' = 0"),C11/(C20*L23*L28)*10000,"inutile")</f>
        <v>11.144920448139546</v>
      </c>
      <c r="M41" s="275" t="s">
        <v>105</v>
      </c>
      <c r="N41" s="296"/>
      <c r="O41" s="271"/>
    </row>
    <row r="42" spans="1:20">
      <c r="A42" s="81"/>
      <c r="C42" s="59"/>
      <c r="H42" s="194"/>
      <c r="I42" s="83" t="s">
        <v>114</v>
      </c>
      <c r="L42" s="265"/>
      <c r="M42" s="275"/>
      <c r="N42" s="296"/>
      <c r="O42" s="271"/>
    </row>
    <row r="43" spans="1:20" ht="16.149999999999999" thickBot="1">
      <c r="A43" s="81"/>
      <c r="C43" s="68"/>
      <c r="D43" s="87"/>
      <c r="E43" s="70"/>
      <c r="H43" s="194"/>
      <c r="I43" s="72" t="s">
        <v>112</v>
      </c>
      <c r="J43" s="66" t="s">
        <v>115</v>
      </c>
      <c r="L43" s="114" t="str">
        <f>IF(AND(G17="R",L31="A' &gt; 0"),L33/(C20*L23*L8)*10000+L38*L37/L8,"inutile")</f>
        <v>inutile</v>
      </c>
      <c r="M43" s="275" t="s">
        <v>105</v>
      </c>
      <c r="N43" s="296"/>
      <c r="O43" s="271"/>
    </row>
    <row r="44" spans="1:20" ht="19.149999999999999" thickBot="1">
      <c r="A44" s="158" t="s">
        <v>116</v>
      </c>
      <c r="B44" s="156" t="s">
        <v>117</v>
      </c>
      <c r="C44" s="127"/>
      <c r="D44" s="148">
        <f>MAX(L41,L47,L43,L49,L53)</f>
        <v>11.144920448139546</v>
      </c>
      <c r="E44" s="112" t="s">
        <v>105</v>
      </c>
      <c r="F44" s="75" t="s">
        <v>118</v>
      </c>
      <c r="H44" s="194"/>
      <c r="I44" s="84"/>
      <c r="J44" s="68"/>
      <c r="K44" s="68"/>
      <c r="L44" s="113"/>
      <c r="M44" s="249"/>
      <c r="N44" s="296"/>
      <c r="O44" s="271"/>
    </row>
    <row r="45" spans="1:20" ht="19.149999999999999" thickBot="1">
      <c r="B45" s="157" t="s">
        <v>119</v>
      </c>
      <c r="C45" s="169"/>
      <c r="D45" s="170">
        <v>11.14</v>
      </c>
      <c r="E45" s="126" t="s">
        <v>105</v>
      </c>
      <c r="H45" s="194"/>
      <c r="I45" s="83" t="s">
        <v>120</v>
      </c>
      <c r="L45" s="265"/>
      <c r="M45" s="275"/>
      <c r="N45" s="296"/>
      <c r="O45" s="271"/>
      <c r="S45" s="61"/>
      <c r="T45" s="1"/>
    </row>
    <row r="46" spans="1:20" ht="15.6">
      <c r="C46" s="59"/>
      <c r="E46" s="1"/>
      <c r="H46" s="194"/>
      <c r="I46" s="64" t="s">
        <v>121</v>
      </c>
      <c r="J46" s="66" t="s">
        <v>122</v>
      </c>
      <c r="L46" s="76" t="str">
        <f>IF(AND(G17="T",L31="A' = 0"),C11-L14*(1-L18/C25),"inutile")</f>
        <v>inutile</v>
      </c>
      <c r="M46" s="196" t="s">
        <v>42</v>
      </c>
      <c r="N46" s="296"/>
      <c r="O46" s="271"/>
    </row>
    <row r="47" spans="1:20" ht="15.6">
      <c r="C47" s="133"/>
      <c r="D47" s="134"/>
      <c r="E47" s="135"/>
      <c r="H47" s="194"/>
      <c r="I47" s="72" t="s">
        <v>112</v>
      </c>
      <c r="J47" s="66" t="s">
        <v>123</v>
      </c>
      <c r="L47" s="114">
        <f>IF(AND(G17="T",L31="A' = 0"),IF(L14=0,L46/L23/C20/L28*10000,(L46/L23/C20+(C25-L18)*C24*L6)/L28*10000), 0)</f>
        <v>0</v>
      </c>
      <c r="M47" s="275" t="s">
        <v>105</v>
      </c>
      <c r="N47" s="296"/>
      <c r="O47" s="271"/>
    </row>
    <row r="48" spans="1:20">
      <c r="C48" s="139"/>
      <c r="D48" s="140"/>
      <c r="E48" s="141"/>
      <c r="H48" s="194"/>
      <c r="I48" s="83" t="s">
        <v>124</v>
      </c>
      <c r="L48" s="265"/>
      <c r="M48" s="275"/>
      <c r="N48" s="296"/>
      <c r="O48" s="271"/>
    </row>
    <row r="49" spans="1:16" ht="15.6">
      <c r="C49" s="142"/>
      <c r="D49" s="142"/>
      <c r="E49" s="142"/>
      <c r="H49" s="194"/>
      <c r="I49" s="72" t="s">
        <v>112</v>
      </c>
      <c r="J49" s="66" t="s">
        <v>125</v>
      </c>
      <c r="L49" s="90" t="str">
        <f>IF(AND(G17="T",L31="A' &gt; 0"),C11/(C20*L23*L28)*10000+L38*L37/L8,"inutile")</f>
        <v>inutile</v>
      </c>
      <c r="M49" s="275" t="s">
        <v>105</v>
      </c>
      <c r="N49" s="296"/>
      <c r="O49" s="271"/>
    </row>
    <row r="50" spans="1:16">
      <c r="A50" s="63"/>
      <c r="C50" s="136"/>
      <c r="D50" s="137"/>
      <c r="E50" s="138"/>
      <c r="F50" s="66"/>
      <c r="H50" s="194"/>
      <c r="I50" s="292"/>
      <c r="J50" s="68"/>
      <c r="K50" s="68"/>
      <c r="L50" s="113"/>
      <c r="M50" s="249"/>
      <c r="N50" s="296"/>
      <c r="O50" s="271"/>
    </row>
    <row r="51" spans="1:16">
      <c r="B51" s="63"/>
      <c r="C51" s="139"/>
      <c r="D51" s="140"/>
      <c r="E51" s="141"/>
      <c r="H51" s="194"/>
      <c r="I51" s="83" t="s">
        <v>126</v>
      </c>
      <c r="L51" s="59"/>
      <c r="M51" s="275"/>
      <c r="N51" s="296"/>
      <c r="O51" s="66"/>
      <c r="P51" s="194"/>
    </row>
    <row r="52" spans="1:16" ht="15.6">
      <c r="C52" s="136"/>
      <c r="D52" s="137"/>
      <c r="E52" s="138"/>
      <c r="H52" s="194"/>
      <c r="I52" s="64" t="s">
        <v>127</v>
      </c>
      <c r="L52" s="266">
        <f>D45</f>
        <v>11.14</v>
      </c>
      <c r="M52" s="196" t="s">
        <v>105</v>
      </c>
      <c r="N52" s="296"/>
      <c r="O52" s="271"/>
    </row>
    <row r="53" spans="1:16" ht="15.6">
      <c r="B53" s="66"/>
      <c r="C53" s="139"/>
      <c r="D53" s="140"/>
      <c r="E53" s="141"/>
      <c r="H53" s="194"/>
      <c r="I53" s="64" t="s">
        <v>128</v>
      </c>
      <c r="J53" s="66" t="s">
        <v>129</v>
      </c>
      <c r="L53" s="266">
        <f>MAX(0.26*L7*C20*C18/C29,0.0013*C18*C20)*10000</f>
        <v>1.2964353637324042</v>
      </c>
      <c r="M53" s="196" t="s">
        <v>105</v>
      </c>
      <c r="N53" s="296"/>
      <c r="O53" s="271"/>
    </row>
    <row r="54" spans="1:16" ht="15.6">
      <c r="C54" s="136"/>
      <c r="D54" s="137"/>
      <c r="E54" s="138"/>
      <c r="H54" s="194"/>
      <c r="I54" s="72"/>
      <c r="J54" s="96" t="s">
        <v>130</v>
      </c>
      <c r="K54" s="81" t="str">
        <f>IF(L52&gt;=L53,"≥","&lt;")</f>
        <v>≥</v>
      </c>
      <c r="L54" s="299" t="s">
        <v>131</v>
      </c>
      <c r="M54" s="275"/>
      <c r="N54" s="196" t="s">
        <v>132</v>
      </c>
      <c r="O54" s="204" t="s">
        <v>133</v>
      </c>
    </row>
    <row r="55" spans="1:16">
      <c r="C55" s="58"/>
      <c r="D55" s="58"/>
      <c r="H55" s="194"/>
      <c r="I55" s="301"/>
      <c r="J55" s="302">
        <f>L52</f>
        <v>11.14</v>
      </c>
      <c r="K55" s="81" t="str">
        <f>K54</f>
        <v>≥</v>
      </c>
      <c r="L55" s="303">
        <f>L53</f>
        <v>1.2964353637324042</v>
      </c>
      <c r="M55" s="307" t="str">
        <f>IF(K55="&lt;", "Erreur","OK")</f>
        <v>OK</v>
      </c>
      <c r="N55" s="296"/>
      <c r="O55" s="271"/>
    </row>
    <row r="56" spans="1:16" ht="15.6">
      <c r="C56" s="58"/>
      <c r="D56" s="58"/>
      <c r="H56" s="194"/>
      <c r="I56" s="64" t="s">
        <v>134</v>
      </c>
      <c r="J56" s="66" t="s">
        <v>135</v>
      </c>
      <c r="L56" s="260">
        <f>IF(OR(G17="R",AND(G17="T",C12="-")), 4%*(C18*C19),4%*(C18*C19+2*(C25-C18)*C24))*10000</f>
        <v>43.2</v>
      </c>
      <c r="M56" s="275"/>
      <c r="N56" s="296"/>
      <c r="O56" s="271"/>
    </row>
    <row r="57" spans="1:16" ht="15.6">
      <c r="C57" s="58"/>
      <c r="D57" s="58"/>
      <c r="H57" s="194"/>
      <c r="J57" s="96" t="s">
        <v>130</v>
      </c>
      <c r="K57" s="81" t="str">
        <f>IF(L52&gt;L56,"&gt;","≤")</f>
        <v>≤</v>
      </c>
      <c r="L57" s="299" t="s">
        <v>136</v>
      </c>
      <c r="M57" s="275"/>
      <c r="N57" s="296"/>
      <c r="O57" s="271"/>
    </row>
    <row r="58" spans="1:16">
      <c r="C58" s="58"/>
      <c r="D58" s="58"/>
      <c r="H58" s="194"/>
      <c r="J58" s="302">
        <f>L52</f>
        <v>11.14</v>
      </c>
      <c r="K58" s="81" t="str">
        <f>K57</f>
        <v>≤</v>
      </c>
      <c r="L58" s="303">
        <f>L56</f>
        <v>43.2</v>
      </c>
      <c r="M58" s="307" t="str">
        <f>IF(K58="&gt;", "Erreur","OK")</f>
        <v>OK</v>
      </c>
      <c r="N58" s="296"/>
      <c r="O58" s="271"/>
    </row>
    <row r="59" spans="1:16" ht="13.9" thickBot="1">
      <c r="C59" s="58"/>
      <c r="D59" s="58"/>
      <c r="H59" s="200"/>
      <c r="I59" s="201"/>
      <c r="J59" s="201"/>
      <c r="K59" s="201"/>
      <c r="L59" s="201"/>
      <c r="M59" s="203"/>
      <c r="N59" s="298"/>
      <c r="O59" s="272"/>
    </row>
    <row r="60" spans="1:16">
      <c r="C60" s="58"/>
      <c r="D60" s="58"/>
      <c r="N60" s="293"/>
      <c r="O60" s="245"/>
    </row>
    <row r="61" spans="1:16">
      <c r="C61" s="58"/>
      <c r="D61" s="66"/>
    </row>
    <row r="62" spans="1:16">
      <c r="C62" s="58"/>
      <c r="D62" s="58"/>
    </row>
    <row r="63" spans="1:16">
      <c r="C63" s="58"/>
      <c r="D63" s="58"/>
    </row>
    <row r="64" spans="1:16">
      <c r="C64" s="58"/>
      <c r="D64" s="58"/>
    </row>
    <row r="65" spans="3:15">
      <c r="C65" s="58"/>
      <c r="D65" s="58"/>
      <c r="O65" s="72"/>
    </row>
  </sheetData>
  <mergeCells count="1">
    <mergeCell ref="C2:E3"/>
  </mergeCells>
  <conditionalFormatting sqref="P14">
    <cfRule type="cellIs" dxfId="13" priority="17" operator="equal">
      <formula>"car M &lt; 0"</formula>
    </cfRule>
  </conditionalFormatting>
  <conditionalFormatting sqref="M55">
    <cfRule type="cellIs" dxfId="12" priority="11" operator="equal">
      <formula>"Erreur"</formula>
    </cfRule>
    <cfRule type="cellIs" dxfId="11" priority="12" operator="equal">
      <formula>"""Erreur"""</formula>
    </cfRule>
    <cfRule type="cellIs" dxfId="10" priority="13" operator="equal">
      <formula>"""Erreur"""</formula>
    </cfRule>
  </conditionalFormatting>
  <conditionalFormatting sqref="M58">
    <cfRule type="cellIs" dxfId="9" priority="8" operator="equal">
      <formula>"Erreur"</formula>
    </cfRule>
    <cfRule type="cellIs" dxfId="8" priority="9" operator="equal">
      <formula>"""Erreur"""</formula>
    </cfRule>
    <cfRule type="cellIs" dxfId="7" priority="10" operator="equal">
      <formula>"""Erreur"""</formula>
    </cfRule>
  </conditionalFormatting>
  <conditionalFormatting sqref="M55 M58">
    <cfRule type="cellIs" dxfId="6" priority="7" operator="equal">
      <formula>"Erreur"</formula>
    </cfRule>
  </conditionalFormatting>
  <conditionalFormatting sqref="L41 L43 L49 L47">
    <cfRule type="cellIs" dxfId="5" priority="6" operator="equal">
      <formula>"inutile"</formula>
    </cfRule>
  </conditionalFormatting>
  <conditionalFormatting sqref="C24:C25">
    <cfRule type="expression" dxfId="4" priority="1">
      <formula>$G$17="R"</formula>
    </cfRule>
  </conditionalFormatting>
  <dataValidations count="5">
    <dataValidation type="list" allowBlank="1" showInputMessage="1" showErrorMessage="1" sqref="C12" xr:uid="{00000000-0002-0000-0100-000000000000}">
      <formula1>"+,-"</formula1>
    </dataValidation>
    <dataValidation type="list" allowBlank="1" showInputMessage="1" showErrorMessage="1" prompt="B1: Pallier incliné_x000a_B2: Pallier horizontal" sqref="C30" xr:uid="{00000000-0002-0000-0100-000001000000}">
      <formula1>"B1,B2"</formula1>
    </dataValidation>
    <dataValidation type="list" allowBlank="1" showInputMessage="1" showErrorMessage="1" sqref="G17" xr:uid="{00000000-0002-0000-0100-000002000000}">
      <formula1>"R,T"</formula1>
    </dataValidation>
    <dataValidation type="list" allowBlank="1" showInputMessage="1" showErrorMessage="1" sqref="C48 C53 C51" xr:uid="{00000000-0002-0000-0100-000003000000}">
      <formula1>Nombre</formula1>
    </dataValidation>
    <dataValidation type="list" allowBlank="1" showInputMessage="1" showErrorMessage="1" sqref="E48 E53 E51" xr:uid="{00000000-0002-0000-0100-000004000000}">
      <formula1>Diamètre</formula1>
    </dataValidation>
  </dataValidations>
  <printOptions horizontalCentered="1" verticalCentered="1"/>
  <pageMargins left="0.39370078740157483" right="0.47244094488188981" top="0.39370078740157483" bottom="0.39370078740157483" header="0.19685039370078741" footer="0.35433070866141736"/>
  <pageSetup paperSize="9" scale="80" orientation="portrait" r:id="rId1"/>
  <headerFooter alignWithMargins="0"/>
  <rowBreaks count="1" manualBreakCount="1">
    <brk id="46" max="6" man="1"/>
  </rowBreaks>
  <colBreaks count="1" manualBreakCount="1">
    <brk id="6" max="44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AA88"/>
  <sheetViews>
    <sheetView showGridLines="0" showZeros="0" view="pageBreakPreview" zoomScaleNormal="70" zoomScaleSheetLayoutView="100" zoomScalePageLayoutView="40" workbookViewId="0">
      <selection activeCell="B43" sqref="B43"/>
    </sheetView>
  </sheetViews>
  <sheetFormatPr defaultColWidth="9.28515625" defaultRowHeight="15" customHeight="1"/>
  <cols>
    <col min="1" max="1" width="17.7109375" style="58" customWidth="1"/>
    <col min="2" max="2" width="26.28515625" style="58" bestFit="1" customWidth="1"/>
    <col min="3" max="3" width="11.85546875" style="96" customWidth="1"/>
    <col min="4" max="4" width="11.28515625" style="1" customWidth="1"/>
    <col min="5" max="5" width="33.85546875" style="58" customWidth="1"/>
    <col min="6" max="6" width="4.28515625" style="58" customWidth="1"/>
    <col min="7" max="7" width="11.42578125" style="58" customWidth="1"/>
    <col min="8" max="8" width="47.7109375" style="58" customWidth="1"/>
    <col min="9" max="9" width="11.42578125" style="74" customWidth="1"/>
    <col min="10" max="10" width="11.42578125" style="58" customWidth="1"/>
    <col min="11" max="11" width="40.7109375" style="58" customWidth="1"/>
    <col min="12" max="12" width="22.7109375" style="58" customWidth="1"/>
    <col min="13" max="13" width="11.42578125" style="96" customWidth="1"/>
    <col min="14" max="14" width="11.42578125" style="1" customWidth="1"/>
    <col min="15" max="16" width="11.42578125" style="58" customWidth="1"/>
    <col min="17" max="17" width="11.5703125" style="58" customWidth="1"/>
    <col min="18" max="18" width="11.42578125" style="58" customWidth="1"/>
    <col min="19" max="19" width="32.28515625" style="58" customWidth="1"/>
    <col min="20" max="20" width="11.42578125" style="58" customWidth="1"/>
    <col min="21" max="21" width="2" style="58" customWidth="1"/>
    <col min="22" max="22" width="3.7109375" style="58" customWidth="1"/>
    <col min="23" max="256" width="11.42578125" style="58" customWidth="1"/>
    <col min="257" max="16384" width="9.28515625" style="58"/>
  </cols>
  <sheetData>
    <row r="1" spans="1:26" ht="15" customHeight="1">
      <c r="F1" s="243"/>
      <c r="G1" s="277"/>
      <c r="H1" s="127"/>
      <c r="I1" s="278"/>
      <c r="J1" s="246"/>
      <c r="K1" s="281"/>
      <c r="L1" s="127"/>
      <c r="M1" s="244"/>
      <c r="N1" s="245"/>
      <c r="O1" s="127"/>
      <c r="P1" s="127"/>
      <c r="Q1" s="246"/>
      <c r="V1" s="64" t="s">
        <v>137</v>
      </c>
      <c r="W1" s="143">
        <f>C29/100</f>
        <v>5.8E-4</v>
      </c>
      <c r="X1" s="65" t="s">
        <v>138</v>
      </c>
    </row>
    <row r="2" spans="1:26" ht="15" customHeight="1">
      <c r="A2" s="317" t="s">
        <v>139</v>
      </c>
      <c r="B2" s="317"/>
      <c r="C2" s="317"/>
      <c r="D2" s="317"/>
      <c r="E2" s="317"/>
      <c r="F2" s="194"/>
      <c r="J2" s="192"/>
      <c r="K2" s="282"/>
      <c r="Q2" s="192"/>
      <c r="V2" s="64" t="s">
        <v>140</v>
      </c>
      <c r="W2" s="143">
        <f>C30/100</f>
        <v>0</v>
      </c>
      <c r="X2" s="65" t="s">
        <v>138</v>
      </c>
    </row>
    <row r="3" spans="1:26" ht="15" customHeight="1">
      <c r="C3" s="58"/>
      <c r="D3" s="160"/>
      <c r="E3" s="59"/>
      <c r="F3" s="194"/>
      <c r="J3" s="192"/>
      <c r="K3" s="282"/>
      <c r="Q3" s="192"/>
      <c r="V3" s="64" t="s">
        <v>141</v>
      </c>
      <c r="W3" s="143">
        <f>C31/100</f>
        <v>1.1899999999999999E-3</v>
      </c>
      <c r="X3" s="65" t="s">
        <v>138</v>
      </c>
    </row>
    <row r="4" spans="1:26" ht="15" customHeight="1">
      <c r="A4" s="319" t="s">
        <v>23</v>
      </c>
      <c r="B4" s="320"/>
      <c r="C4" s="159"/>
      <c r="D4" s="160"/>
      <c r="E4" s="59"/>
      <c r="F4" s="194"/>
      <c r="J4" s="192"/>
      <c r="K4" s="282"/>
      <c r="Q4" s="192"/>
      <c r="V4" s="64" t="s">
        <v>142</v>
      </c>
      <c r="W4" s="143">
        <f>C32/100</f>
        <v>4.8000000000000001E-4</v>
      </c>
      <c r="X4" s="65" t="s">
        <v>138</v>
      </c>
    </row>
    <row r="5" spans="1:26" ht="15" customHeight="1" thickBot="1">
      <c r="A5" s="149" t="s">
        <v>14</v>
      </c>
      <c r="B5" s="131"/>
      <c r="C5" s="130"/>
      <c r="D5" s="160"/>
      <c r="E5" s="59"/>
      <c r="F5" s="200"/>
      <c r="G5" s="201"/>
      <c r="H5" s="85" t="s">
        <v>20</v>
      </c>
      <c r="I5" s="202"/>
      <c r="J5" s="203"/>
      <c r="K5" s="283" t="s">
        <v>21</v>
      </c>
      <c r="L5" s="279"/>
      <c r="M5" s="280"/>
      <c r="N5" s="85" t="s">
        <v>22</v>
      </c>
      <c r="O5" s="201"/>
      <c r="P5" s="201"/>
      <c r="Q5" s="203"/>
      <c r="W5" s="96"/>
      <c r="X5" s="1"/>
    </row>
    <row r="6" spans="1:26" ht="15" customHeight="1">
      <c r="A6" s="309" t="s">
        <v>31</v>
      </c>
      <c r="B6" s="308" t="s">
        <v>32</v>
      </c>
      <c r="C6" s="125"/>
      <c r="D6" s="125"/>
      <c r="E6" s="125"/>
      <c r="F6" s="189" t="s">
        <v>143</v>
      </c>
      <c r="G6" s="208"/>
      <c r="H6" s="190"/>
      <c r="I6" s="312"/>
      <c r="J6" s="305" t="s">
        <v>25</v>
      </c>
      <c r="K6" s="209"/>
      <c r="L6" s="243"/>
      <c r="M6" s="244"/>
      <c r="N6" s="245"/>
      <c r="O6" s="127"/>
      <c r="P6" s="127"/>
      <c r="Q6" s="246"/>
      <c r="W6" s="96"/>
      <c r="X6" s="1"/>
    </row>
    <row r="7" spans="1:26" ht="15" customHeight="1">
      <c r="A7" s="66"/>
      <c r="B7" s="66"/>
      <c r="D7" s="65"/>
      <c r="E7" s="66"/>
      <c r="F7" s="191"/>
      <c r="G7" s="63" t="s">
        <v>24</v>
      </c>
      <c r="H7" s="60"/>
      <c r="I7" s="178"/>
      <c r="J7" s="210"/>
      <c r="K7" s="204"/>
      <c r="L7" s="194"/>
      <c r="Q7" s="192"/>
      <c r="V7" s="66"/>
      <c r="W7" s="96"/>
      <c r="X7" s="1"/>
    </row>
    <row r="8" spans="1:26" ht="15" customHeight="1">
      <c r="A8" s="66"/>
      <c r="B8" s="66"/>
      <c r="D8" s="65"/>
      <c r="E8" s="66"/>
      <c r="F8" s="191"/>
      <c r="G8" s="64" t="s">
        <v>144</v>
      </c>
      <c r="H8" s="66" t="s">
        <v>145</v>
      </c>
      <c r="I8" s="179">
        <f>I49+8</f>
        <v>33</v>
      </c>
      <c r="J8" s="211" t="s">
        <v>30</v>
      </c>
      <c r="K8" s="204"/>
      <c r="L8" s="194"/>
      <c r="Q8" s="192"/>
      <c r="X8" s="96"/>
      <c r="Y8" s="1"/>
    </row>
    <row r="9" spans="1:26" ht="15" customHeight="1">
      <c r="A9" s="171" t="s">
        <v>37</v>
      </c>
      <c r="B9" s="212"/>
      <c r="C9" s="213"/>
      <c r="D9" s="173" t="s">
        <v>25</v>
      </c>
      <c r="E9" s="207"/>
      <c r="F9" s="191"/>
      <c r="G9" s="64" t="s">
        <v>33</v>
      </c>
      <c r="H9" s="180" t="s">
        <v>146</v>
      </c>
      <c r="I9" s="181">
        <f>0.3*(I49)^(2/3)</f>
        <v>2.5649639200150443</v>
      </c>
      <c r="J9" s="193" t="s">
        <v>30</v>
      </c>
      <c r="K9" s="204"/>
      <c r="L9" s="194"/>
      <c r="Q9" s="192"/>
      <c r="X9" s="96"/>
      <c r="Y9" s="1"/>
    </row>
    <row r="10" spans="1:26" ht="15" customHeight="1">
      <c r="A10" s="66"/>
      <c r="B10" s="62" t="s">
        <v>40</v>
      </c>
      <c r="C10" s="95"/>
      <c r="D10" s="215"/>
      <c r="E10" s="216"/>
      <c r="F10" s="191"/>
      <c r="G10" s="64" t="s">
        <v>147</v>
      </c>
      <c r="H10" s="180" t="s">
        <v>148</v>
      </c>
      <c r="I10" s="181">
        <f>MAX(I9,I9*(1.6-X18))</f>
        <v>2.5649639200150443</v>
      </c>
      <c r="J10" s="193" t="s">
        <v>30</v>
      </c>
      <c r="K10" s="204" t="s">
        <v>34</v>
      </c>
      <c r="L10" s="194"/>
      <c r="Q10" s="192"/>
      <c r="X10" s="96"/>
      <c r="Y10" s="1"/>
    </row>
    <row r="11" spans="1:26" ht="15" customHeight="1">
      <c r="A11" s="216"/>
      <c r="B11" s="64" t="s">
        <v>149</v>
      </c>
      <c r="C11" s="177">
        <v>0.15895000000000001</v>
      </c>
      <c r="D11" s="65" t="s">
        <v>42</v>
      </c>
      <c r="E11" s="88"/>
      <c r="F11" s="191"/>
      <c r="G11" s="64" t="s">
        <v>38</v>
      </c>
      <c r="H11" s="66" t="s">
        <v>150</v>
      </c>
      <c r="I11" s="182">
        <f>22000*(I8/10)^0.3</f>
        <v>31475.806210019346</v>
      </c>
      <c r="J11" s="193" t="s">
        <v>30</v>
      </c>
      <c r="K11" s="204"/>
      <c r="L11" s="194"/>
      <c r="Q11" s="192"/>
      <c r="X11" s="96"/>
      <c r="Y11" s="1"/>
    </row>
    <row r="12" spans="1:26" ht="15" customHeight="1">
      <c r="A12" s="216"/>
      <c r="B12" s="66" t="s">
        <v>151</v>
      </c>
      <c r="C12" s="177">
        <v>31476</v>
      </c>
      <c r="D12" s="65" t="s">
        <v>30</v>
      </c>
      <c r="E12" s="217" t="s">
        <v>152</v>
      </c>
      <c r="F12" s="191"/>
      <c r="G12" s="64" t="s">
        <v>153</v>
      </c>
      <c r="H12" s="66" t="s">
        <v>154</v>
      </c>
      <c r="I12" s="182">
        <f>I11/(1+C20)</f>
        <v>11445.747712734308</v>
      </c>
      <c r="J12" s="193" t="s">
        <v>30</v>
      </c>
      <c r="K12" s="204"/>
      <c r="L12" s="194"/>
      <c r="Q12" s="192"/>
      <c r="X12" s="96"/>
      <c r="Y12" s="1"/>
    </row>
    <row r="13" spans="1:26" ht="15" customHeight="1" thickBot="1">
      <c r="A13" s="216"/>
      <c r="B13" s="64" t="s">
        <v>155</v>
      </c>
      <c r="C13" s="218">
        <f>'Poutre ELU'!D41</f>
        <v>0</v>
      </c>
      <c r="D13" s="65" t="s">
        <v>156</v>
      </c>
      <c r="E13" s="88"/>
      <c r="F13" s="199"/>
      <c r="G13" s="66" t="s">
        <v>157</v>
      </c>
      <c r="H13" s="66" t="s">
        <v>158</v>
      </c>
      <c r="I13" s="183">
        <f>200000/I12</f>
        <v>17.473738284261152</v>
      </c>
      <c r="J13" s="193"/>
      <c r="K13" s="204" t="s">
        <v>159</v>
      </c>
      <c r="L13" s="194"/>
      <c r="Q13" s="192"/>
      <c r="W13" s="64" t="s">
        <v>44</v>
      </c>
      <c r="X13" s="90" t="str">
        <f>'Poutre ELU'!C12</f>
        <v>+</v>
      </c>
      <c r="Y13" s="1"/>
      <c r="Z13" s="70"/>
    </row>
    <row r="14" spans="1:26" ht="15" customHeight="1" thickBot="1">
      <c r="A14" s="216"/>
      <c r="B14" s="64" t="s">
        <v>160</v>
      </c>
      <c r="C14" s="218">
        <f>'Poutre ELU'!D45</f>
        <v>11.14</v>
      </c>
      <c r="D14" s="65" t="s">
        <v>156</v>
      </c>
      <c r="E14" s="217" t="s">
        <v>161</v>
      </c>
      <c r="F14" s="199"/>
      <c r="G14" s="219" t="s">
        <v>162</v>
      </c>
      <c r="H14" s="123"/>
      <c r="I14" s="124">
        <f>C12</f>
        <v>31476</v>
      </c>
      <c r="J14" s="193" t="s">
        <v>30</v>
      </c>
      <c r="K14" s="204"/>
      <c r="Q14" s="192"/>
      <c r="V14" s="60" t="s">
        <v>53</v>
      </c>
      <c r="Z14" s="89" t="str">
        <f>'Poutre ELU'!G17</f>
        <v>R</v>
      </c>
    </row>
    <row r="15" spans="1:26" ht="15" customHeight="1">
      <c r="A15" s="216"/>
      <c r="B15" s="64" t="s">
        <v>163</v>
      </c>
      <c r="C15" s="220">
        <f>I21*10^8</f>
        <v>419000.03596262966</v>
      </c>
      <c r="D15" s="65" t="s">
        <v>164</v>
      </c>
      <c r="E15" s="88"/>
      <c r="F15" s="191" t="s">
        <v>165</v>
      </c>
      <c r="G15" s="66"/>
      <c r="H15" s="60"/>
      <c r="I15" s="178"/>
      <c r="J15" s="210"/>
      <c r="K15" s="204"/>
      <c r="L15" s="194"/>
      <c r="Q15" s="192"/>
      <c r="W15" s="58" t="s">
        <v>56</v>
      </c>
      <c r="X15" s="95"/>
      <c r="Y15" s="1"/>
      <c r="Z15" s="70"/>
    </row>
    <row r="16" spans="1:26" ht="15" customHeight="1">
      <c r="A16" s="216"/>
      <c r="B16" s="64" t="s">
        <v>166</v>
      </c>
      <c r="C16" s="220">
        <f>I34*10^8</f>
        <v>257456.28641442431</v>
      </c>
      <c r="D16" s="65" t="s">
        <v>164</v>
      </c>
      <c r="E16" s="88"/>
      <c r="F16" s="191"/>
      <c r="G16" s="60"/>
      <c r="H16" s="60"/>
      <c r="I16" s="95"/>
      <c r="J16" s="195"/>
      <c r="K16" s="204"/>
      <c r="L16" s="252" t="s">
        <v>167</v>
      </c>
      <c r="Q16" s="192"/>
      <c r="W16" s="63" t="s">
        <v>55</v>
      </c>
      <c r="X16" s="95"/>
      <c r="Y16" s="1"/>
      <c r="Z16" s="88"/>
    </row>
    <row r="17" spans="1:26" ht="15" customHeight="1">
      <c r="A17" s="66"/>
      <c r="B17" s="64" t="s">
        <v>168</v>
      </c>
      <c r="C17" s="220">
        <f>I37*100</f>
        <v>96.704077026392127</v>
      </c>
      <c r="D17" s="65" t="s">
        <v>169</v>
      </c>
      <c r="E17" s="66"/>
      <c r="F17" s="191"/>
      <c r="G17" s="63" t="s">
        <v>170</v>
      </c>
      <c r="H17" s="60"/>
      <c r="I17" s="95"/>
      <c r="J17" s="195"/>
      <c r="K17" s="204"/>
      <c r="L17" s="194"/>
      <c r="Q17" s="192"/>
      <c r="W17" s="72" t="s">
        <v>58</v>
      </c>
      <c r="X17" s="90">
        <f>'Poutre ELU'!C18</f>
        <v>0.18</v>
      </c>
      <c r="Y17" s="1" t="s">
        <v>27</v>
      </c>
      <c r="Z17" s="88"/>
    </row>
    <row r="18" spans="1:26" ht="15" customHeight="1">
      <c r="A18" s="66"/>
      <c r="B18" s="66"/>
      <c r="D18" s="65"/>
      <c r="E18" s="66"/>
      <c r="F18" s="191"/>
      <c r="G18" s="66" t="s">
        <v>171</v>
      </c>
      <c r="H18" s="66" t="s">
        <v>172</v>
      </c>
      <c r="I18" s="77">
        <f>X17*X18+I13*(I63+I65)*10^-4+IF(AND(Z14="T",X13="+"),(X22-X17)*X21,0)</f>
        <v>0.12746574444866693</v>
      </c>
      <c r="J18" s="196" t="s">
        <v>173</v>
      </c>
      <c r="K18" s="204"/>
      <c r="L18" s="194"/>
      <c r="Q18" s="192"/>
      <c r="W18" s="72" t="s">
        <v>59</v>
      </c>
      <c r="X18" s="114">
        <f>'Poutre ELU'!C19</f>
        <v>0.6</v>
      </c>
      <c r="Y18" s="1" t="s">
        <v>27</v>
      </c>
      <c r="Z18" s="70"/>
    </row>
    <row r="19" spans="1:26" ht="15" customHeight="1">
      <c r="A19" s="171" t="s">
        <v>174</v>
      </c>
      <c r="B19" s="212"/>
      <c r="C19" s="213"/>
      <c r="D19" s="214"/>
      <c r="E19" s="207"/>
      <c r="F19" s="191"/>
      <c r="G19" s="66" t="s">
        <v>175</v>
      </c>
      <c r="H19" s="66" t="s">
        <v>176</v>
      </c>
      <c r="I19" s="77">
        <f>((X17*X18^2)/2+IF(AND(Z14="T",X13="+"),(X22-X17)*X21^2/2,0)+I13*(I63*10^-4*I59+I65*I60*10^-4))/I18</f>
        <v>0.33665124844237254</v>
      </c>
      <c r="J19" s="196" t="s">
        <v>27</v>
      </c>
      <c r="K19" s="204"/>
      <c r="Q19" s="192"/>
      <c r="X19" s="96"/>
      <c r="Y19" s="1"/>
      <c r="Z19" s="88"/>
    </row>
    <row r="20" spans="1:26" ht="15" customHeight="1">
      <c r="A20" s="66"/>
      <c r="B20" s="66" t="s">
        <v>177</v>
      </c>
      <c r="C20" s="221">
        <v>1.75</v>
      </c>
      <c r="D20" s="222"/>
      <c r="E20" s="69"/>
      <c r="F20" s="191"/>
      <c r="G20" s="66" t="s">
        <v>178</v>
      </c>
      <c r="H20" s="66" t="s">
        <v>179</v>
      </c>
      <c r="I20" s="77">
        <f>X18-I19</f>
        <v>0.26334875155762744</v>
      </c>
      <c r="J20" s="196" t="s">
        <v>27</v>
      </c>
      <c r="K20" s="204"/>
      <c r="L20" s="194"/>
      <c r="O20" s="247"/>
      <c r="Q20" s="192"/>
      <c r="W20" s="63"/>
      <c r="X20" s="95"/>
      <c r="Y20" s="1"/>
      <c r="Z20" s="70"/>
    </row>
    <row r="21" spans="1:26" ht="15" customHeight="1">
      <c r="A21" s="66"/>
      <c r="B21" s="66" t="s">
        <v>180</v>
      </c>
      <c r="C21" s="221">
        <v>50</v>
      </c>
      <c r="D21" s="223" t="s">
        <v>169</v>
      </c>
      <c r="E21" s="69"/>
      <c r="F21" s="191"/>
      <c r="G21" s="66" t="s">
        <v>181</v>
      </c>
      <c r="H21" s="66" t="s">
        <v>182</v>
      </c>
      <c r="I21" s="105">
        <f>((X17*X18^3)/3+I13*(I63*10^-4*I59^2+I65*I60^2*10^-4))-I18*I19^2+IF(AND(Z14="T",X13="+"),(X22-X17)*X21^3/3,0)</f>
        <v>4.1900003596262968E-3</v>
      </c>
      <c r="J21" s="196" t="s">
        <v>183</v>
      </c>
      <c r="K21" s="204"/>
      <c r="L21" s="194"/>
      <c r="Q21" s="192"/>
      <c r="W21" s="72" t="s">
        <v>72</v>
      </c>
      <c r="X21" s="114">
        <f>'Poutre ELU'!C24</f>
        <v>1</v>
      </c>
      <c r="Y21" s="1"/>
      <c r="Z21" s="88"/>
    </row>
    <row r="22" spans="1:26" ht="15" customHeight="1">
      <c r="A22" s="66"/>
      <c r="B22" s="66" t="s">
        <v>184</v>
      </c>
      <c r="C22" s="221">
        <v>360</v>
      </c>
      <c r="D22" s="223" t="s">
        <v>185</v>
      </c>
      <c r="E22" s="69"/>
      <c r="F22" s="191"/>
      <c r="G22" s="66" t="s">
        <v>186</v>
      </c>
      <c r="H22" s="66" t="s">
        <v>187</v>
      </c>
      <c r="I22" s="115">
        <f>I10*I21/I20</f>
        <v>4.0809761518614027E-2</v>
      </c>
      <c r="J22" s="196" t="s">
        <v>42</v>
      </c>
      <c r="K22" s="204"/>
      <c r="L22" s="194"/>
      <c r="Q22" s="192"/>
      <c r="W22" s="72" t="s">
        <v>70</v>
      </c>
      <c r="X22" s="114">
        <f>'Poutre ELU'!C25</f>
        <v>2</v>
      </c>
      <c r="Y22" s="1"/>
      <c r="Z22" s="70"/>
    </row>
    <row r="23" spans="1:26" ht="15" customHeight="1">
      <c r="A23" s="66"/>
      <c r="B23" s="66"/>
      <c r="D23" s="65"/>
      <c r="E23" s="66"/>
      <c r="F23" s="199"/>
      <c r="G23" s="66"/>
      <c r="H23" s="66"/>
      <c r="I23" s="184"/>
      <c r="J23" s="195"/>
      <c r="K23" s="204"/>
      <c r="L23" s="194"/>
      <c r="Q23" s="192"/>
    </row>
    <row r="24" spans="1:26" ht="15" customHeight="1">
      <c r="A24" s="66"/>
      <c r="B24" s="84" t="s">
        <v>188</v>
      </c>
      <c r="C24" s="113"/>
      <c r="D24" s="69"/>
      <c r="E24" s="66"/>
      <c r="F24" s="199"/>
      <c r="G24" s="63" t="s">
        <v>189</v>
      </c>
      <c r="H24" s="66"/>
      <c r="I24" s="96"/>
      <c r="J24" s="196"/>
      <c r="K24" s="204"/>
      <c r="L24" s="194"/>
      <c r="Q24" s="192"/>
    </row>
    <row r="25" spans="1:26" ht="15" customHeight="1">
      <c r="A25" s="66"/>
      <c r="B25" s="224" t="s">
        <v>190</v>
      </c>
      <c r="C25" s="151">
        <v>6</v>
      </c>
      <c r="D25" s="69" t="s">
        <v>27</v>
      </c>
      <c r="E25" s="66"/>
      <c r="F25" s="199"/>
      <c r="G25" s="66" t="s">
        <v>67</v>
      </c>
      <c r="H25" s="66" t="s">
        <v>191</v>
      </c>
      <c r="I25" s="76">
        <f>X17/2</f>
        <v>0.09</v>
      </c>
      <c r="J25" s="196" t="s">
        <v>27</v>
      </c>
      <c r="K25" s="204"/>
      <c r="L25" s="194"/>
      <c r="Q25" s="192"/>
    </row>
    <row r="26" spans="1:26" ht="15" customHeight="1">
      <c r="A26" s="66"/>
      <c r="B26" s="66"/>
      <c r="D26" s="65"/>
      <c r="E26" s="66"/>
      <c r="F26" s="199"/>
      <c r="G26" s="64" t="s">
        <v>70</v>
      </c>
      <c r="H26" s="66" t="s">
        <v>192</v>
      </c>
      <c r="I26" s="183">
        <f>IF(AND(Z14="T",X13="+"),(X22-X17)*X21+I13*(I63+I65)*10^-4,I13*(I63+I65)*10^-4)</f>
        <v>1.9465744448666927E-2</v>
      </c>
      <c r="J26" s="196" t="s">
        <v>173</v>
      </c>
      <c r="K26" s="204"/>
      <c r="L26" s="194"/>
      <c r="Q26" s="192"/>
    </row>
    <row r="27" spans="1:26" ht="15" customHeight="1">
      <c r="A27" s="171" t="s">
        <v>193</v>
      </c>
      <c r="B27" s="212"/>
      <c r="C27" s="213"/>
      <c r="D27" s="214"/>
      <c r="E27" s="207"/>
      <c r="F27" s="199"/>
      <c r="G27" s="64"/>
      <c r="H27" s="66" t="s">
        <v>194</v>
      </c>
      <c r="I27" s="183"/>
      <c r="J27" s="196"/>
      <c r="K27" s="204"/>
      <c r="L27" s="194"/>
      <c r="Q27" s="192"/>
    </row>
    <row r="28" spans="1:26" ht="15" customHeight="1">
      <c r="A28" s="66"/>
      <c r="B28" s="66"/>
      <c r="D28" s="215"/>
      <c r="E28" s="66"/>
      <c r="F28" s="199"/>
      <c r="G28" s="64" t="s">
        <v>195</v>
      </c>
      <c r="H28" s="66" t="s">
        <v>196</v>
      </c>
      <c r="I28" s="183">
        <f>IF(AND(Z14="T",X13="+"),-(X22-X17)*X21^2/2-I13*(I63*I59+I65*I60)*10^-4,-I13*(I63*I59+I65*I60)*10^-4)</f>
        <v>-1.051150200228014E-2</v>
      </c>
      <c r="J28" s="196" t="s">
        <v>197</v>
      </c>
      <c r="K28" s="204"/>
      <c r="L28" s="194"/>
      <c r="Q28" s="192"/>
    </row>
    <row r="29" spans="1:26" ht="15" customHeight="1">
      <c r="A29" s="66"/>
      <c r="B29" s="64" t="s">
        <v>137</v>
      </c>
      <c r="C29" s="225">
        <v>5.8000000000000003E-2</v>
      </c>
      <c r="D29" s="65" t="s">
        <v>138</v>
      </c>
      <c r="E29" s="66"/>
      <c r="F29" s="199"/>
      <c r="G29" s="64"/>
      <c r="H29" s="66" t="s">
        <v>198</v>
      </c>
      <c r="I29" s="183"/>
      <c r="J29" s="196"/>
      <c r="K29" s="226"/>
      <c r="L29" s="248"/>
      <c r="M29" s="113"/>
      <c r="N29" s="70"/>
      <c r="O29" s="70"/>
      <c r="Q29" s="192"/>
    </row>
    <row r="30" spans="1:26" ht="15" customHeight="1">
      <c r="A30" s="66"/>
      <c r="B30" s="64" t="s">
        <v>140</v>
      </c>
      <c r="C30" s="225">
        <v>0</v>
      </c>
      <c r="D30" s="65" t="s">
        <v>138</v>
      </c>
      <c r="E30" s="66"/>
      <c r="F30" s="199"/>
      <c r="G30" s="64"/>
      <c r="H30" s="66"/>
      <c r="I30" s="183"/>
      <c r="J30" s="196"/>
      <c r="K30" s="226"/>
      <c r="L30" s="194"/>
      <c r="O30" s="70"/>
      <c r="Q30" s="192"/>
    </row>
    <row r="31" spans="1:26" ht="15" customHeight="1">
      <c r="A31" s="66"/>
      <c r="B31" s="64" t="s">
        <v>141</v>
      </c>
      <c r="C31" s="225">
        <v>0.11899999999999999</v>
      </c>
      <c r="D31" s="65" t="s">
        <v>138</v>
      </c>
      <c r="E31" s="66"/>
      <c r="F31" s="199"/>
      <c r="G31" s="66" t="s">
        <v>199</v>
      </c>
      <c r="H31" s="66" t="s">
        <v>200</v>
      </c>
      <c r="I31" s="183">
        <f>I26^2-4*I25*I28</f>
        <v>4.163055927761658E-3</v>
      </c>
      <c r="J31" s="196" t="s">
        <v>183</v>
      </c>
      <c r="K31" s="226"/>
      <c r="L31" s="194"/>
      <c r="O31" s="70"/>
      <c r="Q31" s="192"/>
    </row>
    <row r="32" spans="1:26" ht="15" customHeight="1">
      <c r="A32" s="66"/>
      <c r="B32" s="64" t="s">
        <v>142</v>
      </c>
      <c r="C32" s="225">
        <v>4.8000000000000001E-2</v>
      </c>
      <c r="D32" s="65" t="s">
        <v>138</v>
      </c>
      <c r="E32" s="66"/>
      <c r="F32" s="199"/>
      <c r="G32" s="66" t="s">
        <v>201</v>
      </c>
      <c r="H32" s="66" t="s">
        <v>202</v>
      </c>
      <c r="I32" s="183">
        <f>(-I26+SQRT(I31))/(2*I25)</f>
        <v>0.25031112923861604</v>
      </c>
      <c r="J32" s="196" t="s">
        <v>27</v>
      </c>
      <c r="K32" s="204"/>
      <c r="L32" s="194"/>
      <c r="Q32" s="192"/>
    </row>
    <row r="33" spans="1:27" ht="15" customHeight="1">
      <c r="A33" s="66"/>
      <c r="B33" s="66"/>
      <c r="D33" s="65"/>
      <c r="E33" s="66"/>
      <c r="F33" s="199"/>
      <c r="G33" s="318" t="s">
        <v>203</v>
      </c>
      <c r="H33" s="75" t="s">
        <v>204</v>
      </c>
      <c r="I33" s="96"/>
      <c r="J33" s="196"/>
      <c r="K33" s="204"/>
      <c r="L33" s="194"/>
      <c r="M33" s="58"/>
      <c r="N33" s="58"/>
      <c r="O33" s="96"/>
      <c r="P33" s="1"/>
      <c r="Q33" s="249"/>
    </row>
    <row r="34" spans="1:27" ht="15" customHeight="1">
      <c r="A34" s="171" t="s">
        <v>205</v>
      </c>
      <c r="B34" s="212"/>
      <c r="C34" s="213"/>
      <c r="D34" s="214"/>
      <c r="E34" s="207"/>
      <c r="F34" s="199"/>
      <c r="G34" s="318"/>
      <c r="H34" s="75" t="s">
        <v>206</v>
      </c>
      <c r="I34" s="105">
        <f>IF(AND(Z14="T",X13="+"),IF(I32&lt;X21,X22*I32^3/3+I13*I65*10^-4*(I32-I60)^2+I13*I63*10^-4*(I59-I32)^2,X22*I32^3/3-(X22-X17)*(I32-X21)^3/3+I13*I65*10^-4*(I32-I60)^2+I13*I63*10^-4*(I59-I32)^2),X17*I32^3/3+I13*I65*10^-4*(I32-I60)^2+I13*I63*10^-4*(I59-I32)^2)</f>
        <v>2.574562864144243E-3</v>
      </c>
      <c r="J34" s="196" t="s">
        <v>183</v>
      </c>
      <c r="K34" s="204"/>
      <c r="Q34" s="249"/>
    </row>
    <row r="35" spans="1:27" ht="15" customHeight="1">
      <c r="A35" s="66"/>
      <c r="B35" s="66"/>
      <c r="D35" s="65"/>
      <c r="E35" s="66"/>
      <c r="F35" s="199"/>
      <c r="G35" s="64"/>
      <c r="H35" s="75"/>
      <c r="I35" s="185"/>
      <c r="J35" s="196"/>
      <c r="K35" s="204"/>
      <c r="L35" s="194"/>
      <c r="Q35" s="249"/>
    </row>
    <row r="36" spans="1:27" ht="15" customHeight="1">
      <c r="A36" s="227" t="s">
        <v>207</v>
      </c>
      <c r="B36" s="228"/>
      <c r="D36" s="65"/>
      <c r="E36" s="66"/>
      <c r="F36" s="199"/>
      <c r="G36" s="62" t="s">
        <v>165</v>
      </c>
      <c r="H36" s="75"/>
      <c r="I36" s="185"/>
      <c r="J36" s="196"/>
      <c r="K36" s="204"/>
      <c r="L36" s="252" t="s">
        <v>208</v>
      </c>
      <c r="Q36" s="249"/>
    </row>
    <row r="37" spans="1:27" ht="15" customHeight="1">
      <c r="A37" s="66"/>
      <c r="B37" s="64" t="s">
        <v>209</v>
      </c>
      <c r="C37" s="229">
        <f>X40*100</f>
        <v>0.66441725746531</v>
      </c>
      <c r="D37" s="65" t="s">
        <v>138</v>
      </c>
      <c r="E37" s="66"/>
      <c r="F37" s="199"/>
      <c r="G37" s="64" t="s">
        <v>210</v>
      </c>
      <c r="H37" s="75" t="s">
        <v>211</v>
      </c>
      <c r="I37" s="105">
        <f>IF(C11&gt;I22,1-0.5*(I22/C11)^2,0)</f>
        <v>0.96704077026392132</v>
      </c>
      <c r="J37" s="196"/>
      <c r="K37" s="204" t="s">
        <v>212</v>
      </c>
      <c r="L37" s="194"/>
      <c r="Q37" s="249"/>
    </row>
    <row r="38" spans="1:27" ht="15" customHeight="1">
      <c r="A38" s="66"/>
      <c r="B38" s="64" t="s">
        <v>213</v>
      </c>
      <c r="C38" s="229">
        <f>C25*100/250</f>
        <v>2.4</v>
      </c>
      <c r="D38" s="65" t="s">
        <v>138</v>
      </c>
      <c r="E38" s="66"/>
      <c r="F38" s="199"/>
      <c r="G38" s="64"/>
      <c r="H38" s="64"/>
      <c r="I38" s="91"/>
      <c r="J38" s="197"/>
      <c r="K38" s="204"/>
      <c r="L38" s="194"/>
      <c r="Q38" s="249"/>
      <c r="X38" s="119">
        <f>((W1+W2+W3)*I14/I12+W4*I14/I11)*(X17*X18*X18*X18/12)/I34</f>
        <v>6.7296887224058202E-3</v>
      </c>
    </row>
    <row r="39" spans="1:27" ht="15" customHeight="1" thickBot="1">
      <c r="A39" s="66"/>
      <c r="B39" s="66"/>
      <c r="D39" s="65"/>
      <c r="E39" s="66"/>
      <c r="F39" s="198" t="s">
        <v>207</v>
      </c>
      <c r="G39" s="66"/>
      <c r="H39" s="64"/>
      <c r="I39" s="91"/>
      <c r="J39" s="197"/>
      <c r="K39" s="204"/>
      <c r="L39" s="66" t="s">
        <v>214</v>
      </c>
      <c r="Q39" s="249"/>
      <c r="X39" s="119">
        <f>((W1+W2+W3)*I14/I12+W4*I14/I11)*(X17*X18*X18*X18/12)/I21</f>
        <v>4.1350847696589779E-3</v>
      </c>
    </row>
    <row r="40" spans="1:27" ht="15" customHeight="1" thickBot="1">
      <c r="A40" s="66"/>
      <c r="B40" s="230" t="s">
        <v>215</v>
      </c>
      <c r="C40" s="231" t="str">
        <f>IF(C37&gt;C38,"Non vérifié","Vérifié")</f>
        <v>Vérifié</v>
      </c>
      <c r="D40" s="65"/>
      <c r="E40" s="232"/>
      <c r="F40" s="199"/>
      <c r="G40" s="64" t="s">
        <v>216</v>
      </c>
      <c r="H40" s="64" t="s">
        <v>217</v>
      </c>
      <c r="I40" s="115">
        <f>(SUM(C13:C13)/I12+C14/I11)/10/I34*C25^2</f>
        <v>0.49488846148075682</v>
      </c>
      <c r="J40" s="196" t="s">
        <v>27</v>
      </c>
      <c r="K40" s="204"/>
      <c r="L40" s="194"/>
      <c r="Q40" s="249"/>
      <c r="X40" s="119">
        <f>I37*X38+(1-I37)*X39</f>
        <v>6.6441725746530997E-3</v>
      </c>
    </row>
    <row r="41" spans="1:27" ht="15" customHeight="1">
      <c r="A41" s="66"/>
      <c r="B41" s="66"/>
      <c r="D41" s="65"/>
      <c r="E41" s="241" t="s">
        <v>218</v>
      </c>
      <c r="F41" s="199"/>
      <c r="G41" s="64" t="s">
        <v>219</v>
      </c>
      <c r="H41" s="64" t="s">
        <v>220</v>
      </c>
      <c r="I41" s="115">
        <f>(SUM(C13:C13)/I12+C14/I11)/10/I21*C25^2</f>
        <v>0.30408623996764367</v>
      </c>
      <c r="J41" s="196" t="s">
        <v>27</v>
      </c>
      <c r="K41" s="204"/>
      <c r="L41" s="194"/>
      <c r="Q41" s="192"/>
    </row>
    <row r="42" spans="1:27" ht="15" customHeight="1">
      <c r="A42" s="227" t="s">
        <v>221</v>
      </c>
      <c r="B42" s="228"/>
      <c r="D42" s="65"/>
      <c r="E42" s="241" t="s">
        <v>222</v>
      </c>
      <c r="F42" s="199"/>
      <c r="G42" s="64" t="s">
        <v>209</v>
      </c>
      <c r="H42" s="66" t="s">
        <v>223</v>
      </c>
      <c r="I42" s="116">
        <f>I40*I37+(1-I37)*I41</f>
        <v>0.48859976722775195</v>
      </c>
      <c r="J42" s="196" t="s">
        <v>27</v>
      </c>
      <c r="K42" s="204" t="s">
        <v>224</v>
      </c>
      <c r="L42" s="194"/>
      <c r="Q42" s="192"/>
    </row>
    <row r="43" spans="1:27" ht="15" customHeight="1">
      <c r="A43" s="239" t="s">
        <v>225</v>
      </c>
      <c r="B43" s="240" t="s">
        <v>218</v>
      </c>
      <c r="C43" s="233"/>
      <c r="D43" s="65"/>
      <c r="F43" s="199"/>
      <c r="G43" s="64" t="s">
        <v>226</v>
      </c>
      <c r="H43" s="64" t="s">
        <v>227</v>
      </c>
      <c r="I43" s="90">
        <f>C25/250</f>
        <v>2.4E-2</v>
      </c>
      <c r="J43" s="196" t="s">
        <v>27</v>
      </c>
      <c r="K43" s="204" t="s">
        <v>228</v>
      </c>
      <c r="L43" s="194"/>
      <c r="Q43" s="192"/>
    </row>
    <row r="44" spans="1:27" ht="15" customHeight="1">
      <c r="A44" s="66"/>
      <c r="B44" s="64" t="s">
        <v>229</v>
      </c>
      <c r="C44" s="229">
        <f>AA57*100</f>
        <v>0.49375564948323819</v>
      </c>
      <c r="D44" s="65" t="s">
        <v>138</v>
      </c>
      <c r="F44" s="199"/>
      <c r="J44" s="192"/>
      <c r="K44" s="192"/>
      <c r="L44" s="250"/>
      <c r="Q44" s="192"/>
      <c r="W44" s="66" t="s">
        <v>230</v>
      </c>
    </row>
    <row r="45" spans="1:27" ht="15" customHeight="1">
      <c r="A45" s="66"/>
      <c r="B45" s="64" t="str">
        <f>IF(B43="Poutre isostatique","fadm =  (L/500) si L&lt;=5m","fadm =  (L/250) si L&lt;=2,5m")</f>
        <v>fadm =  (L/500) si L&lt;=5m</v>
      </c>
      <c r="C45" s="229">
        <f>IF(B43="Poutre isostatique",IF(C25&lt;=5,C25/500*100,(0.005+C25/1000)*100),IF(C25&lt;=2.5,C25/250*100,(0.005+C25/500)*100))</f>
        <v>1.0999999999999999</v>
      </c>
      <c r="D45" s="65" t="s">
        <v>138</v>
      </c>
      <c r="E45" s="66"/>
      <c r="F45" s="199"/>
      <c r="G45" s="64"/>
      <c r="H45" s="66"/>
      <c r="I45" s="91"/>
      <c r="J45" s="197"/>
      <c r="K45" s="205"/>
      <c r="Q45" s="192"/>
    </row>
    <row r="46" spans="1:27" ht="15" customHeight="1">
      <c r="A46" s="66"/>
      <c r="B46" s="234" t="str">
        <f>IF(B43="Poutre isostatique","=(0,005+L /1000) si L&gt;5m","=(0,005+L/500) si L&gt;2,5m")</f>
        <v>=(0,005+L /1000) si L&gt;5m</v>
      </c>
      <c r="D46" s="65"/>
      <c r="E46" s="66"/>
      <c r="F46" s="199"/>
      <c r="G46" s="64"/>
      <c r="H46" s="64"/>
      <c r="I46" s="91"/>
      <c r="J46" s="197"/>
      <c r="K46" s="205"/>
      <c r="L46" s="194"/>
      <c r="Q46" s="192"/>
      <c r="W46" s="83" t="s">
        <v>231</v>
      </c>
      <c r="X46" s="64"/>
      <c r="Y46" s="91"/>
      <c r="Z46" s="64"/>
      <c r="AA46" s="64"/>
    </row>
    <row r="47" spans="1:27" ht="15" customHeight="1" thickBot="1">
      <c r="A47" s="66"/>
      <c r="B47" s="242"/>
      <c r="D47" s="65"/>
      <c r="E47" s="66"/>
      <c r="F47" s="191" t="s">
        <v>24</v>
      </c>
      <c r="G47" s="66"/>
      <c r="H47" s="66"/>
      <c r="I47" s="96"/>
      <c r="J47" s="196"/>
      <c r="K47" s="204"/>
      <c r="L47" s="194"/>
      <c r="Q47" s="192"/>
      <c r="W47" s="64" t="s">
        <v>232</v>
      </c>
      <c r="X47" s="64" t="s">
        <v>233</v>
      </c>
      <c r="Y47" s="77">
        <f>IF(Z14="R", 2*X17*X18/(2*(X17+X18)),2*(X17*X18+X21*(X22-X17))/(2*(X22+X18)))*1000</f>
        <v>138.46153846153845</v>
      </c>
      <c r="Z47" s="65" t="s">
        <v>234</v>
      </c>
      <c r="AA47" s="64"/>
    </row>
    <row r="48" spans="1:27" ht="15" customHeight="1" thickBot="1">
      <c r="A48" s="66"/>
      <c r="B48" s="230" t="s">
        <v>235</v>
      </c>
      <c r="C48" s="231" t="str">
        <f>IF(C44&gt;C45,"Non vérifié","Vérifié")</f>
        <v>Vérifié</v>
      </c>
      <c r="D48" s="65"/>
      <c r="E48" s="66"/>
      <c r="F48" s="199"/>
      <c r="G48" s="66"/>
      <c r="H48" s="66"/>
      <c r="I48" s="95"/>
      <c r="J48" s="196"/>
      <c r="K48" s="204"/>
      <c r="L48" s="194"/>
      <c r="Q48" s="192"/>
      <c r="W48" s="64" t="s">
        <v>236</v>
      </c>
      <c r="X48" s="64" t="s">
        <v>237</v>
      </c>
      <c r="Y48" s="79">
        <f>MIN(1.5*(1+(0.012*C21)^18)*Y47+250,1500)</f>
        <v>457.71340091407728</v>
      </c>
      <c r="Z48" s="65"/>
      <c r="AA48" s="64"/>
    </row>
    <row r="49" spans="1:27" ht="15" customHeight="1">
      <c r="A49" s="66"/>
      <c r="B49" s="66"/>
      <c r="D49" s="65"/>
      <c r="E49" s="66"/>
      <c r="F49" s="199"/>
      <c r="G49" s="64" t="s">
        <v>79</v>
      </c>
      <c r="H49" s="66"/>
      <c r="I49" s="90">
        <f>'Poutre ELU'!C28</f>
        <v>25</v>
      </c>
      <c r="J49" s="211" t="s">
        <v>30</v>
      </c>
      <c r="K49" s="204"/>
      <c r="L49" s="194"/>
      <c r="Q49" s="192"/>
      <c r="W49" s="64" t="s">
        <v>238</v>
      </c>
      <c r="X49" s="64" t="s">
        <v>239</v>
      </c>
      <c r="Y49" s="76">
        <f>(C22/(C22+Y48))^0.3</f>
        <v>0.78182655208667007</v>
      </c>
      <c r="Z49" s="65"/>
      <c r="AA49" s="64"/>
    </row>
    <row r="50" spans="1:27" ht="15" customHeight="1">
      <c r="A50" s="66"/>
      <c r="B50" s="66"/>
      <c r="D50" s="65"/>
      <c r="E50" s="66"/>
      <c r="F50" s="199"/>
      <c r="G50" s="64" t="s">
        <v>82</v>
      </c>
      <c r="H50" s="66"/>
      <c r="I50" s="90">
        <f>'Poutre ELU'!C29</f>
        <v>500</v>
      </c>
      <c r="J50" s="211" t="s">
        <v>30</v>
      </c>
      <c r="K50" s="204"/>
      <c r="L50" s="194"/>
      <c r="Q50" s="192"/>
      <c r="W50" s="64" t="s">
        <v>240</v>
      </c>
      <c r="X50" s="64" t="s">
        <v>241</v>
      </c>
      <c r="Y50" s="105">
        <f>SUM(C13:C13)/(I11*I34*10)*C25^2</f>
        <v>0</v>
      </c>
      <c r="Z50" s="65" t="s">
        <v>27</v>
      </c>
      <c r="AA50" s="120">
        <f>(W1+W2)*I14/I11*(X17*X18*X18*X18/12)/I34</f>
        <v>7.2991481234135121E-4</v>
      </c>
    </row>
    <row r="51" spans="1:27" ht="15" customHeight="1">
      <c r="A51" s="66"/>
      <c r="B51" s="66"/>
      <c r="D51" s="65"/>
      <c r="E51" s="66"/>
      <c r="F51" s="199"/>
      <c r="G51" s="64" t="s">
        <v>242</v>
      </c>
      <c r="H51" s="66"/>
      <c r="I51" s="90" t="str">
        <f>'Poutre ELU'!C30</f>
        <v>B2</v>
      </c>
      <c r="J51" s="196"/>
      <c r="K51" s="204"/>
      <c r="L51" s="194"/>
      <c r="Q51" s="192"/>
      <c r="W51" s="64" t="s">
        <v>243</v>
      </c>
      <c r="X51" s="64" t="s">
        <v>244</v>
      </c>
      <c r="Y51" s="105">
        <f>SUM(C13:C13)/(I11*I21*10)*C25^2</f>
        <v>0</v>
      </c>
      <c r="Z51" s="65" t="s">
        <v>27</v>
      </c>
      <c r="AA51" s="121">
        <f>(W1+W2)*I14/I11*(X17*X18*X18*X18/12)/I21</f>
        <v>4.4849914285221269E-4</v>
      </c>
    </row>
    <row r="52" spans="1:27" ht="15" customHeight="1">
      <c r="A52" s="66"/>
      <c r="B52" s="66"/>
      <c r="D52" s="65"/>
      <c r="E52" s="66"/>
      <c r="F52" s="199"/>
      <c r="G52" s="66"/>
      <c r="H52" s="66"/>
      <c r="I52" s="95"/>
      <c r="J52" s="196"/>
      <c r="K52" s="204"/>
      <c r="L52" s="194"/>
      <c r="Q52" s="192"/>
      <c r="W52" s="64" t="s">
        <v>245</v>
      </c>
      <c r="X52" s="66" t="s">
        <v>246</v>
      </c>
      <c r="Y52" s="115">
        <f>Y50*I37+(1-I37)*Y51</f>
        <v>0</v>
      </c>
      <c r="Z52" s="65" t="s">
        <v>27</v>
      </c>
      <c r="AA52" s="120">
        <f>I37*AA50+(1-I37)*AA51</f>
        <v>7.206395686393263E-4</v>
      </c>
    </row>
    <row r="53" spans="1:27" ht="15" customHeight="1">
      <c r="A53" s="66"/>
      <c r="B53" s="66"/>
      <c r="D53" s="65"/>
      <c r="E53" s="66"/>
      <c r="F53" s="199"/>
      <c r="G53" s="62" t="s">
        <v>88</v>
      </c>
      <c r="H53" s="66"/>
      <c r="I53" s="95"/>
      <c r="J53" s="196"/>
      <c r="K53" s="204"/>
      <c r="L53" s="194"/>
      <c r="Q53" s="192"/>
      <c r="W53" s="64" t="s">
        <v>247</v>
      </c>
      <c r="X53" s="64" t="s">
        <v>248</v>
      </c>
      <c r="Y53" s="105" t="e">
        <f>(C13/I12+#REF!/I11)/10/I34*C25^2</f>
        <v>#REF!</v>
      </c>
      <c r="Z53" s="65" t="s">
        <v>27</v>
      </c>
      <c r="AA53" s="120">
        <f>(W1*I14/I12+W2*I14/I11)*(X17*X18*X18*X18/12)/I34</f>
        <v>2.0072657339387156E-3</v>
      </c>
    </row>
    <row r="54" spans="1:27" ht="15" customHeight="1">
      <c r="A54" s="66"/>
      <c r="B54" s="122"/>
      <c r="C54" s="95"/>
      <c r="D54" s="65"/>
      <c r="E54" s="66"/>
      <c r="F54" s="199"/>
      <c r="G54" s="118" t="s">
        <v>91</v>
      </c>
      <c r="H54" s="66"/>
      <c r="I54" s="90">
        <f>'Poutre ELU'!C33</f>
        <v>1.5</v>
      </c>
      <c r="J54" s="196"/>
      <c r="K54" s="204"/>
      <c r="L54" s="194"/>
      <c r="M54" s="91"/>
      <c r="N54" s="58"/>
      <c r="O54" s="96"/>
      <c r="P54" s="1"/>
      <c r="Q54" s="192"/>
      <c r="W54" s="64" t="s">
        <v>249</v>
      </c>
      <c r="X54" s="64" t="s">
        <v>250</v>
      </c>
      <c r="Y54" s="105" t="e">
        <f>(C13/I12+#REF!/I11)/10/I21*C25^2</f>
        <v>#REF!</v>
      </c>
      <c r="Z54" s="65" t="s">
        <v>27</v>
      </c>
      <c r="AA54" s="120">
        <f>(W1*I14/I12+W2*I14/I11)*(X17*X18*X18*X18/12)/I21</f>
        <v>1.2333726428435847E-3</v>
      </c>
    </row>
    <row r="55" spans="1:27" ht="15" customHeight="1">
      <c r="A55" s="66"/>
      <c r="B55" s="64"/>
      <c r="C55" s="113"/>
      <c r="D55" s="65"/>
      <c r="E55" s="80"/>
      <c r="F55" s="199"/>
      <c r="G55" s="118" t="s">
        <v>94</v>
      </c>
      <c r="H55" s="66"/>
      <c r="I55" s="90">
        <f>'Poutre ELU'!C34</f>
        <v>1.1499999999999999</v>
      </c>
      <c r="J55" s="196"/>
      <c r="K55" s="204"/>
      <c r="L55" s="251"/>
      <c r="M55" s="58"/>
      <c r="N55" s="58"/>
      <c r="Q55" s="192"/>
      <c r="W55" s="64" t="s">
        <v>251</v>
      </c>
      <c r="X55" s="66" t="s">
        <v>252</v>
      </c>
      <c r="Y55" s="115" t="e">
        <f>Y53*I37+(1-I37)*Y54</f>
        <v>#REF!</v>
      </c>
      <c r="Z55" s="65" t="s">
        <v>27</v>
      </c>
      <c r="AA55" s="121">
        <f>I37*AA53+(1-I37)*AA54</f>
        <v>1.9817588137581469E-3</v>
      </c>
    </row>
    <row r="56" spans="1:27" ht="15" customHeight="1">
      <c r="A56" s="63"/>
      <c r="B56" s="118"/>
      <c r="D56" s="65"/>
      <c r="E56" s="66"/>
      <c r="F56" s="199"/>
      <c r="G56" s="64" t="s">
        <v>97</v>
      </c>
      <c r="H56" s="66"/>
      <c r="I56" s="90">
        <f>'Poutre ELU'!C35</f>
        <v>15</v>
      </c>
      <c r="J56" s="196"/>
      <c r="K56" s="204" t="s">
        <v>159</v>
      </c>
      <c r="M56" s="58"/>
      <c r="N56" s="58"/>
      <c r="Q56" s="192"/>
      <c r="W56" s="64" t="s">
        <v>253</v>
      </c>
      <c r="X56" s="64" t="s">
        <v>254</v>
      </c>
      <c r="Y56" s="115" t="e">
        <f>Y52+Y49*(Y55-Y52)</f>
        <v>#REF!</v>
      </c>
      <c r="Z56" s="65" t="s">
        <v>27</v>
      </c>
      <c r="AA56" s="121">
        <f>AA52+Y49*(AA55-AA52)</f>
        <v>1.706616079820718E-3</v>
      </c>
    </row>
    <row r="57" spans="1:27" ht="22.5" customHeight="1">
      <c r="A57" s="66"/>
      <c r="B57" s="118"/>
      <c r="D57" s="65"/>
      <c r="E57" s="66"/>
      <c r="F57" s="191" t="s">
        <v>255</v>
      </c>
      <c r="G57" s="66"/>
      <c r="H57" s="66"/>
      <c r="I57" s="96"/>
      <c r="J57" s="196"/>
      <c r="K57" s="204"/>
      <c r="L57" s="194"/>
      <c r="M57" s="58"/>
      <c r="N57" s="58"/>
      <c r="Q57" s="192"/>
      <c r="W57" s="64" t="s">
        <v>229</v>
      </c>
      <c r="X57" s="66" t="s">
        <v>256</v>
      </c>
      <c r="Y57" s="116" t="e">
        <f>I42-Y56</f>
        <v>#REF!</v>
      </c>
      <c r="Z57" s="65" t="s">
        <v>27</v>
      </c>
      <c r="AA57" s="120">
        <f>X40-AA56</f>
        <v>4.9375564948323817E-3</v>
      </c>
    </row>
    <row r="58" spans="1:27" ht="15" customHeight="1">
      <c r="A58" s="66"/>
      <c r="B58" s="118"/>
      <c r="D58" s="65"/>
      <c r="E58" s="66"/>
      <c r="F58" s="199"/>
      <c r="G58" s="63" t="s">
        <v>257</v>
      </c>
      <c r="H58" s="66"/>
      <c r="I58" s="95"/>
      <c r="J58" s="196"/>
      <c r="K58" s="204"/>
      <c r="L58" s="199"/>
      <c r="M58" s="58"/>
      <c r="N58" s="58"/>
      <c r="Q58" s="192"/>
      <c r="W58" s="64" t="s">
        <v>258</v>
      </c>
      <c r="X58" s="64" t="s">
        <v>259</v>
      </c>
      <c r="Y58" s="90">
        <f>C25/500</f>
        <v>1.2E-2</v>
      </c>
      <c r="Z58" s="65" t="s">
        <v>27</v>
      </c>
      <c r="AA58" s="64"/>
    </row>
    <row r="59" spans="1:27" ht="15" customHeight="1">
      <c r="A59" s="66"/>
      <c r="B59" s="118"/>
      <c r="D59" s="65"/>
      <c r="E59" s="66"/>
      <c r="F59" s="199"/>
      <c r="G59" s="64" t="s">
        <v>260</v>
      </c>
      <c r="H59" s="66"/>
      <c r="I59" s="90">
        <f>'Poutre ELU'!C20</f>
        <v>0.54</v>
      </c>
      <c r="J59" s="196" t="s">
        <v>27</v>
      </c>
      <c r="K59" s="204"/>
      <c r="L59" s="194"/>
      <c r="M59" s="58"/>
      <c r="N59" s="58"/>
      <c r="Q59" s="192"/>
      <c r="W59" s="96"/>
      <c r="Y59" s="74"/>
      <c r="AA59" s="64"/>
    </row>
    <row r="60" spans="1:27" ht="15" customHeight="1">
      <c r="A60" s="66"/>
      <c r="B60" s="66"/>
      <c r="D60" s="65"/>
      <c r="E60" s="66"/>
      <c r="F60" s="199"/>
      <c r="G60" s="64" t="s">
        <v>261</v>
      </c>
      <c r="H60" s="66"/>
      <c r="I60" s="186">
        <f>'Poutre ELU'!C21</f>
        <v>0.06</v>
      </c>
      <c r="J60" s="196" t="s">
        <v>27</v>
      </c>
      <c r="K60" s="204"/>
      <c r="L60" s="194"/>
      <c r="M60" s="58"/>
      <c r="N60" s="58"/>
      <c r="Q60" s="192"/>
    </row>
    <row r="61" spans="1:27" ht="15" customHeight="1">
      <c r="A61" s="91"/>
      <c r="B61" s="66"/>
      <c r="D61" s="65"/>
      <c r="E61" s="66"/>
      <c r="F61" s="199"/>
      <c r="G61" s="66"/>
      <c r="H61" s="66"/>
      <c r="I61" s="96"/>
      <c r="J61" s="196"/>
      <c r="K61" s="205"/>
      <c r="L61" s="194"/>
      <c r="M61" s="58"/>
      <c r="N61" s="58"/>
      <c r="Q61" s="192"/>
      <c r="W61" s="58">
        <v>4</v>
      </c>
    </row>
    <row r="62" spans="1:27" ht="15" customHeight="1">
      <c r="A62" s="91"/>
      <c r="B62" s="66"/>
      <c r="D62" s="65"/>
      <c r="E62" s="66"/>
      <c r="F62" s="199"/>
      <c r="G62" s="63" t="s">
        <v>262</v>
      </c>
      <c r="H62" s="66"/>
      <c r="I62" s="96"/>
      <c r="J62" s="196"/>
      <c r="K62" s="205"/>
      <c r="L62" s="194"/>
      <c r="M62" s="58"/>
      <c r="N62" s="58"/>
      <c r="Q62" s="192"/>
    </row>
    <row r="63" spans="1:27" ht="15" customHeight="1">
      <c r="A63" s="63"/>
      <c r="B63" s="66"/>
      <c r="C63" s="95"/>
      <c r="D63" s="65"/>
      <c r="E63" s="66"/>
      <c r="F63" s="199"/>
      <c r="G63" s="66" t="s">
        <v>263</v>
      </c>
      <c r="H63" s="66"/>
      <c r="I63" s="187">
        <f>'Poutre ELU'!D45</f>
        <v>11.14</v>
      </c>
      <c r="J63" s="196" t="s">
        <v>105</v>
      </c>
      <c r="K63" s="205"/>
      <c r="L63" s="194"/>
      <c r="M63" s="58"/>
      <c r="N63" s="58"/>
      <c r="Q63" s="192"/>
    </row>
    <row r="64" spans="1:27" ht="15" customHeight="1">
      <c r="A64" s="66"/>
      <c r="B64" s="66"/>
      <c r="C64" s="95"/>
      <c r="D64" s="65"/>
      <c r="E64" s="66"/>
      <c r="F64" s="199"/>
      <c r="G64" s="66" t="s">
        <v>264</v>
      </c>
      <c r="H64" s="66"/>
      <c r="I64" s="187">
        <f>'Poutre ELU'!D41</f>
        <v>0</v>
      </c>
      <c r="J64" s="196" t="s">
        <v>105</v>
      </c>
      <c r="K64" s="205"/>
      <c r="L64" s="194"/>
      <c r="M64" s="58"/>
      <c r="N64" s="58"/>
      <c r="Q64" s="192"/>
    </row>
    <row r="65" spans="1:17" ht="15" customHeight="1">
      <c r="A65" s="66"/>
      <c r="B65" s="66"/>
      <c r="C65" s="95"/>
      <c r="D65" s="65"/>
      <c r="E65" s="66"/>
      <c r="F65" s="199"/>
      <c r="G65" s="64" t="s">
        <v>265</v>
      </c>
      <c r="H65" s="66"/>
      <c r="I65" s="188">
        <f>I64</f>
        <v>0</v>
      </c>
      <c r="J65" s="196" t="s">
        <v>105</v>
      </c>
      <c r="K65" s="205"/>
      <c r="L65" s="194"/>
      <c r="M65" s="58"/>
      <c r="N65" s="58"/>
      <c r="Q65" s="192"/>
    </row>
    <row r="66" spans="1:17" ht="15" customHeight="1" thickBot="1">
      <c r="A66" s="91"/>
      <c r="B66" s="66"/>
      <c r="C66" s="95"/>
      <c r="D66" s="65"/>
      <c r="E66" s="66"/>
      <c r="F66" s="235"/>
      <c r="G66" s="236"/>
      <c r="H66" s="236"/>
      <c r="I66" s="237"/>
      <c r="J66" s="238"/>
      <c r="K66" s="206"/>
      <c r="L66" s="200"/>
      <c r="M66" s="201"/>
      <c r="N66" s="201"/>
      <c r="O66" s="201"/>
      <c r="P66" s="201"/>
      <c r="Q66" s="203"/>
    </row>
    <row r="67" spans="1:17" ht="15" customHeight="1">
      <c r="C67" s="95"/>
      <c r="K67" s="64"/>
      <c r="M67" s="58"/>
      <c r="N67" s="58"/>
    </row>
    <row r="68" spans="1:17" ht="15" customHeight="1">
      <c r="A68" s="92"/>
      <c r="K68" s="64"/>
      <c r="M68" s="58"/>
      <c r="N68" s="58"/>
    </row>
    <row r="69" spans="1:17" ht="15" customHeight="1">
      <c r="C69" s="95"/>
      <c r="K69" s="64"/>
      <c r="M69" s="58"/>
      <c r="N69" s="58"/>
    </row>
    <row r="70" spans="1:17" ht="15" customHeight="1">
      <c r="A70" s="117"/>
      <c r="C70" s="95"/>
      <c r="K70" s="64"/>
      <c r="M70" s="58"/>
      <c r="N70" s="58"/>
    </row>
    <row r="71" spans="1:17" ht="15" customHeight="1">
      <c r="C71" s="95"/>
      <c r="K71" s="64"/>
      <c r="M71" s="58"/>
      <c r="N71" s="58"/>
    </row>
    <row r="72" spans="1:17" ht="15" customHeight="1">
      <c r="C72" s="95"/>
      <c r="K72" s="64"/>
      <c r="M72" s="58"/>
      <c r="N72" s="58"/>
    </row>
    <row r="73" spans="1:17" ht="15" customHeight="1">
      <c r="A73" s="93"/>
      <c r="C73" s="97"/>
      <c r="M73" s="58"/>
      <c r="N73" s="58"/>
    </row>
    <row r="74" spans="1:17" ht="15" customHeight="1">
      <c r="C74" s="95"/>
      <c r="M74" s="58"/>
      <c r="N74" s="58"/>
    </row>
    <row r="75" spans="1:17" ht="15" customHeight="1">
      <c r="A75" s="63"/>
      <c r="C75" s="95"/>
      <c r="M75" s="58"/>
      <c r="N75" s="58"/>
    </row>
    <row r="76" spans="1:17" ht="15" customHeight="1">
      <c r="C76" s="95"/>
      <c r="M76" s="58"/>
      <c r="N76" s="58"/>
    </row>
    <row r="77" spans="1:17" ht="15" customHeight="1">
      <c r="C77" s="95"/>
      <c r="M77" s="58"/>
      <c r="N77" s="58"/>
    </row>
    <row r="78" spans="1:17" ht="15" customHeight="1">
      <c r="A78" s="93"/>
      <c r="C78" s="97"/>
      <c r="M78" s="58"/>
      <c r="N78" s="58"/>
    </row>
    <row r="79" spans="1:17" ht="15" customHeight="1">
      <c r="F79" s="94"/>
      <c r="M79" s="58"/>
      <c r="N79" s="58"/>
    </row>
    <row r="80" spans="1:17" ht="15" customHeight="1">
      <c r="M80" s="58"/>
      <c r="N80" s="58"/>
    </row>
    <row r="81" spans="6:14" ht="15" customHeight="1">
      <c r="M81" s="58"/>
      <c r="N81" s="58"/>
    </row>
    <row r="82" spans="6:14" ht="15" customHeight="1">
      <c r="M82" s="58"/>
      <c r="N82" s="58"/>
    </row>
    <row r="83" spans="6:14" ht="15" customHeight="1">
      <c r="G83" s="80"/>
      <c r="N83" s="58"/>
    </row>
    <row r="84" spans="6:14" ht="15" customHeight="1">
      <c r="F84" s="94"/>
    </row>
    <row r="88" spans="6:14" ht="15" customHeight="1">
      <c r="G88" s="80"/>
    </row>
  </sheetData>
  <mergeCells count="3">
    <mergeCell ref="A2:E2"/>
    <mergeCell ref="G33:G34"/>
    <mergeCell ref="A4:B4"/>
  </mergeCells>
  <phoneticPr fontId="18" type="noConversion"/>
  <conditionalFormatting sqref="C40">
    <cfRule type="cellIs" dxfId="3" priority="2" operator="equal">
      <formula>"Vérifié"</formula>
    </cfRule>
    <cfRule type="cellIs" dxfId="2" priority="4" operator="equal">
      <formula>"Non vérifié"</formula>
    </cfRule>
  </conditionalFormatting>
  <conditionalFormatting sqref="C48">
    <cfRule type="cellIs" dxfId="1" priority="1" operator="equal">
      <formula>"Vérifié"</formula>
    </cfRule>
    <cfRule type="cellIs" dxfId="0" priority="3" operator="equal">
      <formula>"Non vérifié"</formula>
    </cfRule>
  </conditionalFormatting>
  <dataValidations count="2">
    <dataValidation type="list" allowBlank="1" showInputMessage="1" showErrorMessage="1" sqref="Z16:Z17 Z19" xr:uid="{00000000-0002-0000-0200-000000000000}">
      <formula1>Diamètre</formula1>
    </dataValidation>
    <dataValidation type="list" allowBlank="1" showInputMessage="1" showErrorMessage="1" sqref="B43" xr:uid="{BF6BA504-6D40-45CB-AA3A-00B5FD4563C9}">
      <formula1>$E$41:$E$42</formula1>
    </dataValidation>
  </dataValidations>
  <pageMargins left="0.70866141732283472" right="0.70866141732283472" top="0.74803149606299213" bottom="0.74803149606299213" header="0.31496062992125984" footer="0.31496062992125984"/>
  <pageSetup paperSize="9" scale="86" orientation="portrait" r:id="rId1"/>
  <headerFooter alignWithMargins="0"/>
  <rowBreaks count="2" manualBreakCount="2">
    <brk id="2" max="16383" man="1"/>
    <brk id="37" max="4" man="1"/>
  </rowBreaks>
  <colBreaks count="5" manualBreakCount="5">
    <brk id="4" max="48" man="1"/>
    <brk id="5" max="48" man="1"/>
    <brk id="6" max="1048575" man="1"/>
    <brk id="11" max="48" man="1"/>
    <brk id="17" max="48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1:V59"/>
  <sheetViews>
    <sheetView tabSelected="1" zoomScale="85" zoomScaleNormal="85" workbookViewId="0">
      <selection activeCell="D4" sqref="D4"/>
    </sheetView>
  </sheetViews>
  <sheetFormatPr defaultColWidth="9.28515625" defaultRowHeight="13.15"/>
  <cols>
    <col min="1" max="2" width="9.28515625" style="1"/>
    <col min="3" max="4" width="9.28515625" style="1" customWidth="1"/>
    <col min="5" max="16" width="9.28515625" style="1"/>
    <col min="17" max="17" width="20.7109375" style="1" customWidth="1"/>
    <col min="18" max="16384" width="9.28515625" style="1"/>
  </cols>
  <sheetData>
    <row r="1" spans="2:22" ht="13.9" thickBot="1">
      <c r="S1" s="103"/>
      <c r="T1" s="321"/>
      <c r="U1" s="321"/>
      <c r="V1" s="322"/>
    </row>
    <row r="2" spans="2:22" ht="13.9" thickBot="1">
      <c r="B2" s="33" t="s">
        <v>266</v>
      </c>
      <c r="C2" s="34">
        <v>5</v>
      </c>
      <c r="D2" s="34">
        <v>6</v>
      </c>
      <c r="E2" s="34">
        <v>8</v>
      </c>
      <c r="F2" s="34">
        <v>10</v>
      </c>
      <c r="G2" s="34">
        <v>12</v>
      </c>
      <c r="H2" s="34">
        <v>14</v>
      </c>
      <c r="I2" s="34">
        <v>16</v>
      </c>
      <c r="J2" s="34">
        <v>18</v>
      </c>
      <c r="K2" s="34">
        <v>20</v>
      </c>
      <c r="L2" s="34">
        <v>22</v>
      </c>
      <c r="M2" s="34">
        <v>25</v>
      </c>
      <c r="N2" s="34">
        <v>32</v>
      </c>
      <c r="O2" s="34">
        <v>40</v>
      </c>
      <c r="P2" s="34">
        <v>50</v>
      </c>
      <c r="S2" s="102"/>
      <c r="T2" s="101"/>
      <c r="U2" s="99"/>
      <c r="V2" s="100"/>
    </row>
    <row r="3" spans="2:22" ht="12.75" customHeight="1">
      <c r="B3" s="33" t="s">
        <v>267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S3" s="98"/>
      <c r="T3" s="98"/>
      <c r="U3" s="98"/>
      <c r="V3" s="98"/>
    </row>
    <row r="4" spans="2:22">
      <c r="B4" s="34">
        <v>1</v>
      </c>
      <c r="C4" s="35">
        <f>$B4*PI()*C$2^2/400</f>
        <v>0.19634954084936207</v>
      </c>
      <c r="D4" s="35">
        <f t="shared" ref="D4:P4" si="0">$B4*PI()*D$2^2/400</f>
        <v>0.28274333882308139</v>
      </c>
      <c r="E4" s="35">
        <f t="shared" si="0"/>
        <v>0.50265482457436694</v>
      </c>
      <c r="F4" s="35">
        <f t="shared" si="0"/>
        <v>0.78539816339744828</v>
      </c>
      <c r="G4" s="35">
        <f t="shared" si="0"/>
        <v>1.1309733552923256</v>
      </c>
      <c r="H4" s="35">
        <f t="shared" si="0"/>
        <v>1.5393804002589986</v>
      </c>
      <c r="I4" s="35">
        <f t="shared" si="0"/>
        <v>2.0106192982974678</v>
      </c>
      <c r="J4" s="35">
        <f t="shared" si="0"/>
        <v>2.5446900494077322</v>
      </c>
      <c r="K4" s="35">
        <f t="shared" si="0"/>
        <v>3.1415926535897931</v>
      </c>
      <c r="L4" s="35">
        <f t="shared" si="0"/>
        <v>3.8013271108436499</v>
      </c>
      <c r="M4" s="35">
        <f t="shared" si="0"/>
        <v>4.908738521234052</v>
      </c>
      <c r="N4" s="35">
        <f t="shared" si="0"/>
        <v>8.0424771931898711</v>
      </c>
      <c r="O4" s="35">
        <f t="shared" si="0"/>
        <v>12.566370614359172</v>
      </c>
      <c r="P4" s="35">
        <f t="shared" si="0"/>
        <v>19.634954084936208</v>
      </c>
      <c r="S4" s="34"/>
      <c r="T4" s="34"/>
      <c r="U4" s="34"/>
      <c r="V4" s="34"/>
    </row>
    <row r="5" spans="2:22">
      <c r="B5" s="34">
        <v>2</v>
      </c>
      <c r="C5" s="35">
        <f t="shared" ref="C5:P25" si="1">$B5*PI()*C$2^2/400</f>
        <v>0.39269908169872414</v>
      </c>
      <c r="D5" s="35">
        <f t="shared" si="1"/>
        <v>0.56548667764616278</v>
      </c>
      <c r="E5" s="35">
        <f t="shared" si="1"/>
        <v>1.0053096491487339</v>
      </c>
      <c r="F5" s="35">
        <f t="shared" si="1"/>
        <v>1.5707963267948966</v>
      </c>
      <c r="G5" s="35">
        <f t="shared" si="1"/>
        <v>2.2619467105846511</v>
      </c>
      <c r="H5" s="35">
        <f t="shared" si="1"/>
        <v>3.0787608005179972</v>
      </c>
      <c r="I5" s="35">
        <f t="shared" si="1"/>
        <v>4.0212385965949355</v>
      </c>
      <c r="J5" s="35">
        <f t="shared" si="1"/>
        <v>5.0893800988154645</v>
      </c>
      <c r="K5" s="35">
        <f t="shared" si="1"/>
        <v>6.2831853071795862</v>
      </c>
      <c r="L5" s="35">
        <f t="shared" si="1"/>
        <v>7.6026542216872999</v>
      </c>
      <c r="M5" s="35">
        <f t="shared" si="1"/>
        <v>9.8174770424681039</v>
      </c>
      <c r="N5" s="35">
        <f t="shared" si="1"/>
        <v>16.084954386379742</v>
      </c>
      <c r="O5" s="35">
        <f t="shared" si="1"/>
        <v>25.132741228718345</v>
      </c>
      <c r="P5" s="35">
        <f t="shared" si="1"/>
        <v>39.269908169872416</v>
      </c>
      <c r="S5" s="34"/>
      <c r="T5" s="34"/>
      <c r="U5" s="98"/>
      <c r="V5" s="98"/>
    </row>
    <row r="6" spans="2:22" ht="12.75" customHeight="1">
      <c r="B6" s="34">
        <v>3</v>
      </c>
      <c r="C6" s="35">
        <f t="shared" si="1"/>
        <v>0.58904862254808621</v>
      </c>
      <c r="D6" s="35">
        <f t="shared" si="1"/>
        <v>0.84823001646924412</v>
      </c>
      <c r="E6" s="35">
        <f t="shared" si="1"/>
        <v>1.5079644737231006</v>
      </c>
      <c r="F6" s="35">
        <f t="shared" si="1"/>
        <v>2.3561944901923448</v>
      </c>
      <c r="G6" s="35">
        <f t="shared" si="1"/>
        <v>3.3929200658769765</v>
      </c>
      <c r="H6" s="35">
        <f t="shared" si="1"/>
        <v>4.6181412007769964</v>
      </c>
      <c r="I6" s="35">
        <f t="shared" si="1"/>
        <v>6.0318578948924024</v>
      </c>
      <c r="J6" s="35">
        <f t="shared" si="1"/>
        <v>7.6340701482231976</v>
      </c>
      <c r="K6" s="35">
        <f t="shared" si="1"/>
        <v>9.4247779607693793</v>
      </c>
      <c r="L6" s="35">
        <f t="shared" si="1"/>
        <v>11.40398133253095</v>
      </c>
      <c r="M6" s="35">
        <f t="shared" si="1"/>
        <v>14.726215563702155</v>
      </c>
      <c r="N6" s="35">
        <f t="shared" si="1"/>
        <v>24.12743157956961</v>
      </c>
      <c r="O6" s="35">
        <f t="shared" si="1"/>
        <v>37.699111843077517</v>
      </c>
      <c r="P6" s="35">
        <f t="shared" si="1"/>
        <v>58.90486225480862</v>
      </c>
      <c r="S6" s="34"/>
      <c r="T6" s="34"/>
      <c r="U6" s="34"/>
      <c r="V6" s="34"/>
    </row>
    <row r="7" spans="2:22" ht="13.5" customHeight="1">
      <c r="B7" s="34">
        <v>4</v>
      </c>
      <c r="C7" s="35">
        <f t="shared" si="1"/>
        <v>0.78539816339744828</v>
      </c>
      <c r="D7" s="35">
        <f t="shared" si="1"/>
        <v>1.1309733552923256</v>
      </c>
      <c r="E7" s="35">
        <f t="shared" si="1"/>
        <v>2.0106192982974678</v>
      </c>
      <c r="F7" s="35">
        <f t="shared" si="1"/>
        <v>3.1415926535897931</v>
      </c>
      <c r="G7" s="35">
        <f t="shared" si="1"/>
        <v>4.5238934211693023</v>
      </c>
      <c r="H7" s="35">
        <f t="shared" si="1"/>
        <v>6.1575216010359943</v>
      </c>
      <c r="I7" s="35">
        <f t="shared" si="1"/>
        <v>8.0424771931898711</v>
      </c>
      <c r="J7" s="35">
        <f t="shared" si="1"/>
        <v>10.178760197630929</v>
      </c>
      <c r="K7" s="35">
        <f t="shared" si="1"/>
        <v>12.566370614359172</v>
      </c>
      <c r="L7" s="35">
        <f t="shared" si="1"/>
        <v>15.2053084433746</v>
      </c>
      <c r="M7" s="35">
        <f t="shared" si="1"/>
        <v>19.634954084936208</v>
      </c>
      <c r="N7" s="35">
        <f t="shared" si="1"/>
        <v>32.169908772759484</v>
      </c>
      <c r="O7" s="35">
        <f t="shared" si="1"/>
        <v>50.26548245743669</v>
      </c>
      <c r="P7" s="35">
        <f t="shared" si="1"/>
        <v>78.539816339744831</v>
      </c>
      <c r="S7" s="34"/>
      <c r="T7" s="34"/>
      <c r="U7" s="98"/>
      <c r="V7" s="98"/>
    </row>
    <row r="8" spans="2:22">
      <c r="B8" s="34">
        <v>5</v>
      </c>
      <c r="C8" s="35">
        <f t="shared" si="1"/>
        <v>0.98174770424681024</v>
      </c>
      <c r="D8" s="35">
        <f t="shared" si="1"/>
        <v>1.4137166941154069</v>
      </c>
      <c r="E8" s="35">
        <f t="shared" si="1"/>
        <v>2.5132741228718345</v>
      </c>
      <c r="F8" s="35">
        <f t="shared" si="1"/>
        <v>3.926990816987241</v>
      </c>
      <c r="G8" s="35">
        <f t="shared" si="1"/>
        <v>5.6548667764616276</v>
      </c>
      <c r="H8" s="35">
        <f t="shared" si="1"/>
        <v>7.6969020012949931</v>
      </c>
      <c r="I8" s="35">
        <f t="shared" si="1"/>
        <v>10.053096491487338</v>
      </c>
      <c r="J8" s="35">
        <f t="shared" si="1"/>
        <v>12.723450247038661</v>
      </c>
      <c r="K8" s="35">
        <f t="shared" si="1"/>
        <v>15.707963267948964</v>
      </c>
      <c r="L8" s="35">
        <f t="shared" si="1"/>
        <v>19.006635554218249</v>
      </c>
      <c r="M8" s="35">
        <f t="shared" si="1"/>
        <v>24.543692606170257</v>
      </c>
      <c r="N8" s="35">
        <f t="shared" si="1"/>
        <v>40.212385965949352</v>
      </c>
      <c r="O8" s="35">
        <f t="shared" si="1"/>
        <v>62.831853071795855</v>
      </c>
      <c r="P8" s="35">
        <f t="shared" si="1"/>
        <v>98.174770424681029</v>
      </c>
      <c r="S8" s="34"/>
      <c r="T8" s="34"/>
      <c r="U8" s="34"/>
      <c r="V8" s="34"/>
    </row>
    <row r="9" spans="2:22">
      <c r="B9" s="34">
        <v>6</v>
      </c>
      <c r="C9" s="35">
        <f t="shared" si="1"/>
        <v>1.1780972450961724</v>
      </c>
      <c r="D9" s="35">
        <f t="shared" si="1"/>
        <v>1.6964600329384882</v>
      </c>
      <c r="E9" s="35">
        <f t="shared" si="1"/>
        <v>3.0159289474462012</v>
      </c>
      <c r="F9" s="35">
        <f t="shared" si="1"/>
        <v>4.7123889803846897</v>
      </c>
      <c r="G9" s="35">
        <f t="shared" si="1"/>
        <v>6.785840131753953</v>
      </c>
      <c r="H9" s="35">
        <f t="shared" si="1"/>
        <v>9.2362824015539928</v>
      </c>
      <c r="I9" s="35">
        <f t="shared" si="1"/>
        <v>12.063715789784805</v>
      </c>
      <c r="J9" s="35">
        <f t="shared" si="1"/>
        <v>15.268140296446395</v>
      </c>
      <c r="K9" s="35">
        <f t="shared" si="1"/>
        <v>18.849555921538759</v>
      </c>
      <c r="L9" s="35">
        <f t="shared" si="1"/>
        <v>22.807962665061901</v>
      </c>
      <c r="M9" s="35">
        <f t="shared" si="1"/>
        <v>29.45243112740431</v>
      </c>
      <c r="N9" s="35">
        <f t="shared" si="1"/>
        <v>48.254863159139219</v>
      </c>
      <c r="O9" s="35">
        <f t="shared" si="1"/>
        <v>75.398223686155035</v>
      </c>
      <c r="P9" s="35">
        <f t="shared" si="1"/>
        <v>117.80972450961724</v>
      </c>
    </row>
    <row r="10" spans="2:22">
      <c r="B10" s="34">
        <v>7</v>
      </c>
      <c r="C10" s="35">
        <f t="shared" si="1"/>
        <v>1.3744467859455343</v>
      </c>
      <c r="D10" s="35">
        <f t="shared" si="1"/>
        <v>1.9792033717615698</v>
      </c>
      <c r="E10" s="35">
        <f t="shared" si="1"/>
        <v>3.5185837720205684</v>
      </c>
      <c r="F10" s="35">
        <f t="shared" si="1"/>
        <v>5.4977871437821371</v>
      </c>
      <c r="G10" s="35">
        <f t="shared" si="1"/>
        <v>7.9168134870462792</v>
      </c>
      <c r="H10" s="35">
        <f t="shared" si="1"/>
        <v>10.775662801812992</v>
      </c>
      <c r="I10" s="35">
        <f t="shared" si="1"/>
        <v>14.074335088082274</v>
      </c>
      <c r="J10" s="35">
        <f t="shared" si="1"/>
        <v>17.812830345854128</v>
      </c>
      <c r="K10" s="35">
        <f t="shared" si="1"/>
        <v>21.991148575128548</v>
      </c>
      <c r="L10" s="35">
        <f t="shared" si="1"/>
        <v>26.609289775905548</v>
      </c>
      <c r="M10" s="35">
        <f t="shared" si="1"/>
        <v>34.361169648638359</v>
      </c>
      <c r="N10" s="35">
        <f t="shared" si="1"/>
        <v>56.297340352329094</v>
      </c>
      <c r="O10" s="35">
        <f t="shared" si="1"/>
        <v>87.964594300514193</v>
      </c>
      <c r="P10" s="35">
        <f t="shared" si="1"/>
        <v>137.44467859455344</v>
      </c>
      <c r="S10" s="65"/>
    </row>
    <row r="11" spans="2:22">
      <c r="B11" s="34">
        <v>8</v>
      </c>
      <c r="C11" s="35">
        <f t="shared" si="1"/>
        <v>1.5707963267948966</v>
      </c>
      <c r="D11" s="35">
        <f t="shared" si="1"/>
        <v>2.2619467105846511</v>
      </c>
      <c r="E11" s="35">
        <f t="shared" si="1"/>
        <v>4.0212385965949355</v>
      </c>
      <c r="F11" s="35">
        <f t="shared" si="1"/>
        <v>6.2831853071795862</v>
      </c>
      <c r="G11" s="35">
        <f t="shared" si="1"/>
        <v>9.0477868423386045</v>
      </c>
      <c r="H11" s="35">
        <f t="shared" si="1"/>
        <v>12.315043202071989</v>
      </c>
      <c r="I11" s="35">
        <f t="shared" si="1"/>
        <v>16.084954386379742</v>
      </c>
      <c r="J11" s="35">
        <f t="shared" si="1"/>
        <v>20.357520395261858</v>
      </c>
      <c r="K11" s="35">
        <f t="shared" si="1"/>
        <v>25.132741228718345</v>
      </c>
      <c r="L11" s="35">
        <f t="shared" si="1"/>
        <v>30.410616886749199</v>
      </c>
      <c r="M11" s="35">
        <f t="shared" si="1"/>
        <v>39.269908169872416</v>
      </c>
      <c r="N11" s="35">
        <f t="shared" si="1"/>
        <v>64.339817545518969</v>
      </c>
      <c r="O11" s="35">
        <f t="shared" si="1"/>
        <v>100.53096491487338</v>
      </c>
      <c r="P11" s="35">
        <f t="shared" si="1"/>
        <v>157.07963267948966</v>
      </c>
      <c r="S11" s="64"/>
    </row>
    <row r="12" spans="2:22">
      <c r="B12" s="34">
        <v>9</v>
      </c>
      <c r="C12" s="35">
        <f t="shared" si="1"/>
        <v>1.7671458676442586</v>
      </c>
      <c r="D12" s="35">
        <f t="shared" si="1"/>
        <v>2.5446900494077322</v>
      </c>
      <c r="E12" s="35">
        <f t="shared" si="1"/>
        <v>4.5238934211693023</v>
      </c>
      <c r="F12" s="35">
        <f t="shared" si="1"/>
        <v>7.0685834705770345</v>
      </c>
      <c r="G12" s="35">
        <f t="shared" si="1"/>
        <v>10.178760197630929</v>
      </c>
      <c r="H12" s="35">
        <f t="shared" si="1"/>
        <v>13.854423602330987</v>
      </c>
      <c r="I12" s="35">
        <f t="shared" si="1"/>
        <v>18.095573684677209</v>
      </c>
      <c r="J12" s="35">
        <f t="shared" si="1"/>
        <v>22.902210444669592</v>
      </c>
      <c r="K12" s="35">
        <f t="shared" si="1"/>
        <v>28.274333882308138</v>
      </c>
      <c r="L12" s="35">
        <f t="shared" si="1"/>
        <v>34.211943997592847</v>
      </c>
      <c r="M12" s="35">
        <f t="shared" si="1"/>
        <v>44.178646691106472</v>
      </c>
      <c r="N12" s="35">
        <f t="shared" si="1"/>
        <v>72.382294738708836</v>
      </c>
      <c r="O12" s="35">
        <f t="shared" si="1"/>
        <v>113.09733552923255</v>
      </c>
      <c r="P12" s="35">
        <f t="shared" si="1"/>
        <v>176.71458676442589</v>
      </c>
      <c r="S12" s="82"/>
      <c r="T12" s="104"/>
    </row>
    <row r="13" spans="2:22">
      <c r="B13" s="34">
        <v>10</v>
      </c>
      <c r="C13" s="35">
        <f t="shared" si="1"/>
        <v>1.9634954084936205</v>
      </c>
      <c r="D13" s="35">
        <f t="shared" si="1"/>
        <v>2.8274333882308138</v>
      </c>
      <c r="E13" s="35">
        <f t="shared" si="1"/>
        <v>5.026548245743669</v>
      </c>
      <c r="F13" s="35">
        <f t="shared" si="1"/>
        <v>7.8539816339744819</v>
      </c>
      <c r="G13" s="35">
        <f t="shared" si="1"/>
        <v>11.309733552923255</v>
      </c>
      <c r="H13" s="35">
        <f t="shared" si="1"/>
        <v>15.393804002589986</v>
      </c>
      <c r="I13" s="35">
        <f t="shared" si="1"/>
        <v>20.106192982974676</v>
      </c>
      <c r="J13" s="35">
        <f t="shared" si="1"/>
        <v>25.446900494077322</v>
      </c>
      <c r="K13" s="35">
        <f t="shared" si="1"/>
        <v>31.415926535897928</v>
      </c>
      <c r="L13" s="35">
        <f t="shared" si="1"/>
        <v>38.013271108436498</v>
      </c>
      <c r="M13" s="35">
        <f t="shared" si="1"/>
        <v>49.087385212340514</v>
      </c>
      <c r="N13" s="35">
        <f t="shared" si="1"/>
        <v>80.424771931898704</v>
      </c>
      <c r="O13" s="35">
        <f t="shared" si="1"/>
        <v>125.66370614359171</v>
      </c>
      <c r="P13" s="35">
        <f t="shared" si="1"/>
        <v>196.34954084936206</v>
      </c>
      <c r="S13" s="82"/>
    </row>
    <row r="14" spans="2:22" ht="15" customHeight="1">
      <c r="B14" s="34">
        <v>11</v>
      </c>
      <c r="C14" s="35">
        <f t="shared" si="1"/>
        <v>2.1598449493429825</v>
      </c>
      <c r="D14" s="35">
        <f t="shared" si="1"/>
        <v>3.1101767270538949</v>
      </c>
      <c r="E14" s="35">
        <f t="shared" si="1"/>
        <v>5.5292030703180357</v>
      </c>
      <c r="F14" s="35">
        <f t="shared" si="1"/>
        <v>8.6393797973719302</v>
      </c>
      <c r="G14" s="35">
        <f t="shared" si="1"/>
        <v>12.44070690821558</v>
      </c>
      <c r="H14" s="35">
        <f t="shared" si="1"/>
        <v>16.933184402848983</v>
      </c>
      <c r="I14" s="35">
        <f t="shared" si="1"/>
        <v>22.116812281272143</v>
      </c>
      <c r="J14" s="35">
        <f t="shared" si="1"/>
        <v>27.991590543485053</v>
      </c>
      <c r="K14" s="35">
        <f t="shared" si="1"/>
        <v>34.557519189487721</v>
      </c>
      <c r="L14" s="35">
        <f t="shared" si="1"/>
        <v>41.814598219280143</v>
      </c>
      <c r="M14" s="35">
        <f t="shared" si="1"/>
        <v>53.996123733574571</v>
      </c>
      <c r="N14" s="35">
        <f t="shared" si="1"/>
        <v>88.467249125088571</v>
      </c>
      <c r="O14" s="35">
        <f t="shared" si="1"/>
        <v>138.23007675795088</v>
      </c>
      <c r="P14" s="35">
        <f t="shared" si="1"/>
        <v>215.98449493429828</v>
      </c>
      <c r="S14" s="66"/>
    </row>
    <row r="15" spans="2:22">
      <c r="B15" s="34">
        <v>12</v>
      </c>
      <c r="C15" s="35">
        <f t="shared" si="1"/>
        <v>2.3561944901923448</v>
      </c>
      <c r="D15" s="35">
        <f t="shared" si="1"/>
        <v>3.3929200658769765</v>
      </c>
      <c r="E15" s="35">
        <f t="shared" si="1"/>
        <v>6.0318578948924024</v>
      </c>
      <c r="F15" s="35">
        <f t="shared" si="1"/>
        <v>9.4247779607693793</v>
      </c>
      <c r="G15" s="35">
        <f t="shared" si="1"/>
        <v>13.571680263507906</v>
      </c>
      <c r="H15" s="35">
        <f t="shared" si="1"/>
        <v>18.472564803107986</v>
      </c>
      <c r="I15" s="35">
        <f t="shared" si="1"/>
        <v>24.12743157956961</v>
      </c>
      <c r="J15" s="35">
        <f t="shared" si="1"/>
        <v>30.536280592892791</v>
      </c>
      <c r="K15" s="35">
        <f t="shared" si="1"/>
        <v>37.699111843077517</v>
      </c>
      <c r="L15" s="35">
        <f t="shared" si="1"/>
        <v>45.615925330123801</v>
      </c>
      <c r="M15" s="35">
        <f t="shared" si="1"/>
        <v>58.90486225480862</v>
      </c>
      <c r="N15" s="35">
        <f t="shared" si="1"/>
        <v>96.509726318278439</v>
      </c>
      <c r="O15" s="35">
        <f t="shared" si="1"/>
        <v>150.79644737231007</v>
      </c>
      <c r="P15" s="35">
        <f t="shared" si="1"/>
        <v>235.61944901923448</v>
      </c>
      <c r="S15" s="82"/>
    </row>
    <row r="16" spans="2:22">
      <c r="B16" s="34">
        <v>13</v>
      </c>
      <c r="C16" s="35">
        <f t="shared" si="1"/>
        <v>2.5525440310417071</v>
      </c>
      <c r="D16" s="35">
        <f t="shared" si="1"/>
        <v>3.675663404700058</v>
      </c>
      <c r="E16" s="35">
        <f t="shared" si="1"/>
        <v>6.53451271946677</v>
      </c>
      <c r="F16" s="35">
        <f t="shared" si="1"/>
        <v>10.210176124166829</v>
      </c>
      <c r="G16" s="35">
        <f t="shared" si="1"/>
        <v>14.702653618800232</v>
      </c>
      <c r="H16" s="35">
        <f t="shared" si="1"/>
        <v>20.011945203366984</v>
      </c>
      <c r="I16" s="35">
        <f t="shared" si="1"/>
        <v>26.13805087786708</v>
      </c>
      <c r="J16" s="35">
        <f t="shared" si="1"/>
        <v>33.080970642300528</v>
      </c>
      <c r="K16" s="35">
        <f t="shared" si="1"/>
        <v>40.840704496667314</v>
      </c>
      <c r="L16" s="35">
        <f t="shared" si="1"/>
        <v>49.417252440967452</v>
      </c>
      <c r="M16" s="35">
        <f t="shared" si="1"/>
        <v>63.813600776042676</v>
      </c>
      <c r="N16" s="35">
        <f t="shared" si="1"/>
        <v>104.55220351146832</v>
      </c>
      <c r="O16" s="35">
        <f t="shared" si="1"/>
        <v>163.36281798666926</v>
      </c>
      <c r="P16" s="35">
        <f t="shared" si="1"/>
        <v>255.25440310417071</v>
      </c>
      <c r="S16" s="66"/>
    </row>
    <row r="17" spans="2:19" ht="15" customHeight="1">
      <c r="B17" s="34">
        <v>14</v>
      </c>
      <c r="C17" s="35">
        <f t="shared" si="1"/>
        <v>2.7488935718910685</v>
      </c>
      <c r="D17" s="35">
        <f t="shared" si="1"/>
        <v>3.9584067435231396</v>
      </c>
      <c r="E17" s="35">
        <f t="shared" si="1"/>
        <v>7.0371675440411368</v>
      </c>
      <c r="F17" s="35">
        <f t="shared" si="1"/>
        <v>10.995574287564274</v>
      </c>
      <c r="G17" s="35">
        <f t="shared" si="1"/>
        <v>15.833626974092558</v>
      </c>
      <c r="H17" s="35">
        <f t="shared" si="1"/>
        <v>21.551325603625983</v>
      </c>
      <c r="I17" s="35">
        <f t="shared" si="1"/>
        <v>28.148670176164547</v>
      </c>
      <c r="J17" s="35">
        <f t="shared" si="1"/>
        <v>35.625660691708255</v>
      </c>
      <c r="K17" s="35">
        <f t="shared" si="1"/>
        <v>43.982297150257097</v>
      </c>
      <c r="L17" s="35">
        <f t="shared" si="1"/>
        <v>53.218579551811096</v>
      </c>
      <c r="M17" s="35">
        <f t="shared" si="1"/>
        <v>68.722339297276719</v>
      </c>
      <c r="N17" s="35">
        <f t="shared" si="1"/>
        <v>112.59468070465819</v>
      </c>
      <c r="O17" s="35">
        <f t="shared" si="1"/>
        <v>175.92918860102839</v>
      </c>
      <c r="P17" s="35">
        <f t="shared" si="1"/>
        <v>274.88935718910687</v>
      </c>
      <c r="S17" s="64"/>
    </row>
    <row r="18" spans="2:19">
      <c r="B18" s="34">
        <v>15</v>
      </c>
      <c r="C18" s="35">
        <f t="shared" si="1"/>
        <v>2.9452431127404308</v>
      </c>
      <c r="D18" s="35">
        <f t="shared" si="1"/>
        <v>4.2411500823462207</v>
      </c>
      <c r="E18" s="35">
        <f t="shared" si="1"/>
        <v>7.5398223686155026</v>
      </c>
      <c r="F18" s="35">
        <f t="shared" si="1"/>
        <v>11.780972450961723</v>
      </c>
      <c r="G18" s="35">
        <f t="shared" si="1"/>
        <v>16.964600329384883</v>
      </c>
      <c r="H18" s="35">
        <f t="shared" si="1"/>
        <v>23.090706003884979</v>
      </c>
      <c r="I18" s="35">
        <f t="shared" si="1"/>
        <v>30.15928947446201</v>
      </c>
      <c r="J18" s="35">
        <f t="shared" si="1"/>
        <v>38.170350741115982</v>
      </c>
      <c r="K18" s="35">
        <f t="shared" si="1"/>
        <v>47.123889803846893</v>
      </c>
      <c r="L18" s="35">
        <f t="shared" si="1"/>
        <v>57.019906662654741</v>
      </c>
      <c r="M18" s="35">
        <f t="shared" si="1"/>
        <v>73.631077818510761</v>
      </c>
      <c r="N18" s="35">
        <f t="shared" si="1"/>
        <v>120.63715789784804</v>
      </c>
      <c r="O18" s="35">
        <f t="shared" si="1"/>
        <v>188.49555921538757</v>
      </c>
      <c r="P18" s="35">
        <f t="shared" si="1"/>
        <v>294.52431127404304</v>
      </c>
    </row>
    <row r="19" spans="2:19">
      <c r="B19" s="34">
        <v>16</v>
      </c>
      <c r="C19" s="35">
        <f t="shared" si="1"/>
        <v>3.1415926535897931</v>
      </c>
      <c r="D19" s="35">
        <f t="shared" si="1"/>
        <v>4.5238934211693023</v>
      </c>
      <c r="E19" s="35">
        <f t="shared" si="1"/>
        <v>8.0424771931898711</v>
      </c>
      <c r="F19" s="35">
        <f t="shared" si="1"/>
        <v>12.566370614359172</v>
      </c>
      <c r="G19" s="35">
        <f t="shared" si="1"/>
        <v>18.095573684677209</v>
      </c>
      <c r="H19" s="35">
        <f t="shared" si="1"/>
        <v>24.630086404143977</v>
      </c>
      <c r="I19" s="35">
        <f t="shared" si="1"/>
        <v>32.169908772759484</v>
      </c>
      <c r="J19" s="35">
        <f t="shared" si="1"/>
        <v>40.715040790523716</v>
      </c>
      <c r="K19" s="35">
        <f t="shared" si="1"/>
        <v>50.26548245743669</v>
      </c>
      <c r="L19" s="35">
        <f t="shared" si="1"/>
        <v>60.821233773498399</v>
      </c>
      <c r="M19" s="35">
        <f t="shared" si="1"/>
        <v>78.539816339744831</v>
      </c>
      <c r="N19" s="35">
        <f t="shared" si="1"/>
        <v>128.67963509103794</v>
      </c>
      <c r="O19" s="35">
        <f t="shared" si="1"/>
        <v>201.06192982974676</v>
      </c>
      <c r="P19" s="35">
        <f t="shared" si="1"/>
        <v>314.15926535897933</v>
      </c>
    </row>
    <row r="20" spans="2:19" ht="16.5" customHeight="1">
      <c r="B20" s="34">
        <v>17</v>
      </c>
      <c r="C20" s="35">
        <f t="shared" si="1"/>
        <v>3.3379421944391554</v>
      </c>
      <c r="D20" s="35">
        <f t="shared" si="1"/>
        <v>4.8066367599923838</v>
      </c>
      <c r="E20" s="35">
        <f t="shared" si="1"/>
        <v>8.5451320177642387</v>
      </c>
      <c r="F20" s="35">
        <f t="shared" si="1"/>
        <v>13.351768777756622</v>
      </c>
      <c r="G20" s="35">
        <f t="shared" si="1"/>
        <v>19.226547039969535</v>
      </c>
      <c r="H20" s="35">
        <f t="shared" si="1"/>
        <v>26.169466804402976</v>
      </c>
      <c r="I20" s="35">
        <f t="shared" si="1"/>
        <v>34.180528071056955</v>
      </c>
      <c r="J20" s="35">
        <f t="shared" si="1"/>
        <v>43.25973083993145</v>
      </c>
      <c r="K20" s="35">
        <f t="shared" si="1"/>
        <v>53.407075111026487</v>
      </c>
      <c r="L20" s="35">
        <f t="shared" si="1"/>
        <v>64.62256088434205</v>
      </c>
      <c r="M20" s="35">
        <f t="shared" si="1"/>
        <v>83.448554860978888</v>
      </c>
      <c r="N20" s="35">
        <f t="shared" si="1"/>
        <v>136.72211228422782</v>
      </c>
      <c r="O20" s="35">
        <f t="shared" si="1"/>
        <v>213.62830044410595</v>
      </c>
      <c r="P20" s="35">
        <f t="shared" si="1"/>
        <v>333.79421944391555</v>
      </c>
    </row>
    <row r="21" spans="2:19" ht="15.75" customHeight="1">
      <c r="B21" s="34">
        <v>18</v>
      </c>
      <c r="C21" s="35">
        <f t="shared" si="1"/>
        <v>3.5342917352885173</v>
      </c>
      <c r="D21" s="35">
        <f t="shared" si="1"/>
        <v>5.0893800988154645</v>
      </c>
      <c r="E21" s="35">
        <f t="shared" si="1"/>
        <v>9.0477868423386045</v>
      </c>
      <c r="F21" s="35">
        <f t="shared" si="1"/>
        <v>14.137166941154069</v>
      </c>
      <c r="G21" s="35">
        <f t="shared" si="1"/>
        <v>20.357520395261858</v>
      </c>
      <c r="H21" s="35">
        <f t="shared" si="1"/>
        <v>27.708847204661975</v>
      </c>
      <c r="I21" s="35">
        <f t="shared" si="1"/>
        <v>36.191147369354418</v>
      </c>
      <c r="J21" s="35">
        <f t="shared" si="1"/>
        <v>45.804420889339184</v>
      </c>
      <c r="K21" s="35">
        <f t="shared" si="1"/>
        <v>56.548667764616276</v>
      </c>
      <c r="L21" s="35">
        <f t="shared" si="1"/>
        <v>68.423887995185694</v>
      </c>
      <c r="M21" s="35">
        <f t="shared" si="1"/>
        <v>88.357293382212944</v>
      </c>
      <c r="N21" s="35">
        <f t="shared" si="1"/>
        <v>144.76458947741767</v>
      </c>
      <c r="O21" s="35">
        <f t="shared" si="1"/>
        <v>226.1946710584651</v>
      </c>
      <c r="P21" s="35">
        <f t="shared" si="1"/>
        <v>353.42917352885178</v>
      </c>
    </row>
    <row r="22" spans="2:19" ht="19.5" customHeight="1">
      <c r="B22" s="34">
        <v>19</v>
      </c>
      <c r="C22" s="35">
        <f t="shared" si="1"/>
        <v>3.7306412761378791</v>
      </c>
      <c r="D22" s="35">
        <f t="shared" si="1"/>
        <v>5.3721234376385461</v>
      </c>
      <c r="E22" s="35">
        <f t="shared" si="1"/>
        <v>9.5504416669129704</v>
      </c>
      <c r="F22" s="35">
        <f t="shared" si="1"/>
        <v>14.922565104551516</v>
      </c>
      <c r="G22" s="35">
        <f t="shared" si="1"/>
        <v>21.488493750554184</v>
      </c>
      <c r="H22" s="35">
        <f t="shared" si="1"/>
        <v>29.24822760492097</v>
      </c>
      <c r="I22" s="35">
        <f t="shared" si="1"/>
        <v>38.201766667651881</v>
      </c>
      <c r="J22" s="35">
        <f t="shared" si="1"/>
        <v>48.349110938746918</v>
      </c>
      <c r="K22" s="35">
        <f t="shared" si="1"/>
        <v>59.690260418206066</v>
      </c>
      <c r="L22" s="35">
        <f t="shared" si="1"/>
        <v>72.225215106029339</v>
      </c>
      <c r="M22" s="35">
        <f t="shared" si="1"/>
        <v>93.266031903446986</v>
      </c>
      <c r="N22" s="35">
        <f t="shared" si="1"/>
        <v>152.80706667060753</v>
      </c>
      <c r="O22" s="35">
        <f t="shared" si="1"/>
        <v>238.76104167282426</v>
      </c>
      <c r="P22" s="35">
        <f t="shared" si="1"/>
        <v>373.06412761378795</v>
      </c>
    </row>
    <row r="23" spans="2:19" ht="15.75" customHeight="1">
      <c r="B23" s="34">
        <v>20</v>
      </c>
      <c r="C23" s="35">
        <f t="shared" si="1"/>
        <v>3.926990816987241</v>
      </c>
      <c r="D23" s="35">
        <f t="shared" ref="D23:P25" si="2">$B23*PI()*D$2^2/400</f>
        <v>5.6548667764616276</v>
      </c>
      <c r="E23" s="35">
        <f t="shared" si="2"/>
        <v>10.053096491487338</v>
      </c>
      <c r="F23" s="35">
        <f t="shared" si="2"/>
        <v>15.707963267948964</v>
      </c>
      <c r="G23" s="35">
        <f t="shared" si="2"/>
        <v>22.61946710584651</v>
      </c>
      <c r="H23" s="35">
        <f t="shared" si="2"/>
        <v>30.787608005179973</v>
      </c>
      <c r="I23" s="35">
        <f t="shared" si="2"/>
        <v>40.212385965949352</v>
      </c>
      <c r="J23" s="35">
        <f t="shared" si="2"/>
        <v>50.893800988154645</v>
      </c>
      <c r="K23" s="35">
        <f t="shared" si="2"/>
        <v>62.831853071795855</v>
      </c>
      <c r="L23" s="35">
        <f t="shared" si="2"/>
        <v>76.026542216872997</v>
      </c>
      <c r="M23" s="35">
        <f t="shared" si="2"/>
        <v>98.174770424681029</v>
      </c>
      <c r="N23" s="35">
        <f t="shared" si="2"/>
        <v>160.84954386379741</v>
      </c>
      <c r="O23" s="35">
        <f t="shared" si="2"/>
        <v>251.32741228718342</v>
      </c>
      <c r="P23" s="35">
        <f t="shared" si="2"/>
        <v>392.69908169872411</v>
      </c>
    </row>
    <row r="24" spans="2:19">
      <c r="B24" s="34">
        <v>21</v>
      </c>
      <c r="C24" s="35">
        <f t="shared" si="1"/>
        <v>4.1233403578366037</v>
      </c>
      <c r="D24" s="35">
        <f t="shared" si="2"/>
        <v>5.9376101152847092</v>
      </c>
      <c r="E24" s="35">
        <f t="shared" si="2"/>
        <v>10.555751316061706</v>
      </c>
      <c r="F24" s="35">
        <f t="shared" si="2"/>
        <v>16.493361431346415</v>
      </c>
      <c r="G24" s="35">
        <f t="shared" si="2"/>
        <v>23.750440461138837</v>
      </c>
      <c r="H24" s="35">
        <f t="shared" si="2"/>
        <v>32.326988405438975</v>
      </c>
      <c r="I24" s="35">
        <f t="shared" si="2"/>
        <v>42.223005264246822</v>
      </c>
      <c r="J24" s="35">
        <f t="shared" si="2"/>
        <v>53.438491037562379</v>
      </c>
      <c r="K24" s="35">
        <f t="shared" si="2"/>
        <v>65.973445725385659</v>
      </c>
      <c r="L24" s="35">
        <f t="shared" si="2"/>
        <v>79.827869327716641</v>
      </c>
      <c r="M24" s="35">
        <f t="shared" si="2"/>
        <v>103.08350894591509</v>
      </c>
      <c r="N24" s="35">
        <f t="shared" si="2"/>
        <v>168.89202105698729</v>
      </c>
      <c r="O24" s="35">
        <f t="shared" si="2"/>
        <v>263.89378290154264</v>
      </c>
      <c r="P24" s="35">
        <f t="shared" si="2"/>
        <v>412.33403578366034</v>
      </c>
    </row>
    <row r="25" spans="2:19" ht="15" customHeight="1">
      <c r="B25" s="34">
        <v>22</v>
      </c>
      <c r="C25" s="35">
        <f t="shared" si="1"/>
        <v>4.3196898986859651</v>
      </c>
      <c r="D25" s="35">
        <f t="shared" si="2"/>
        <v>6.2203534541077898</v>
      </c>
      <c r="E25" s="35">
        <f t="shared" si="2"/>
        <v>11.058406140636071</v>
      </c>
      <c r="F25" s="35">
        <f t="shared" si="2"/>
        <v>17.27875959474386</v>
      </c>
      <c r="G25" s="35">
        <f t="shared" si="2"/>
        <v>24.881413816431159</v>
      </c>
      <c r="H25" s="35">
        <f t="shared" si="2"/>
        <v>33.866368805697967</v>
      </c>
      <c r="I25" s="35">
        <f t="shared" si="2"/>
        <v>44.233624562544286</v>
      </c>
      <c r="J25" s="35">
        <f t="shared" si="2"/>
        <v>55.983181086970106</v>
      </c>
      <c r="K25" s="35">
        <f t="shared" si="2"/>
        <v>69.115038378975441</v>
      </c>
      <c r="L25" s="35">
        <f t="shared" si="2"/>
        <v>83.629196438560285</v>
      </c>
      <c r="M25" s="35">
        <f t="shared" si="2"/>
        <v>107.99224746714914</v>
      </c>
      <c r="N25" s="35">
        <f t="shared" si="2"/>
        <v>176.93449825017714</v>
      </c>
      <c r="O25" s="35">
        <f t="shared" si="2"/>
        <v>276.46015351590177</v>
      </c>
      <c r="P25" s="35">
        <f t="shared" si="2"/>
        <v>431.96898986859657</v>
      </c>
    </row>
    <row r="27" spans="2:19" ht="13.9" thickBot="1"/>
    <row r="28" spans="2:19" ht="27.6">
      <c r="B28" s="332"/>
      <c r="C28" s="333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4"/>
      <c r="Q28" s="36" t="s">
        <v>268</v>
      </c>
    </row>
    <row r="29" spans="2:19" ht="16.149999999999999" thickBot="1">
      <c r="B29" s="335" t="s">
        <v>269</v>
      </c>
      <c r="C29" s="336"/>
      <c r="D29" s="336"/>
      <c r="E29" s="336"/>
      <c r="F29" s="336"/>
      <c r="G29" s="336"/>
      <c r="H29" s="336"/>
      <c r="I29" s="336"/>
      <c r="J29" s="336"/>
      <c r="K29" s="336"/>
      <c r="L29" s="336"/>
      <c r="M29" s="336"/>
      <c r="N29" s="336"/>
      <c r="O29" s="336"/>
      <c r="P29" s="337"/>
      <c r="Q29" s="37" t="s">
        <v>270</v>
      </c>
    </row>
    <row r="30" spans="2:19" ht="16.149999999999999" thickTop="1">
      <c r="B30" s="2" t="s">
        <v>271</v>
      </c>
      <c r="C30" s="57">
        <v>12</v>
      </c>
      <c r="D30" s="56">
        <v>16</v>
      </c>
      <c r="E30" s="56">
        <v>20</v>
      </c>
      <c r="F30" s="56">
        <v>25</v>
      </c>
      <c r="G30" s="56">
        <v>30</v>
      </c>
      <c r="H30" s="56">
        <v>35</v>
      </c>
      <c r="I30" s="56">
        <v>40</v>
      </c>
      <c r="J30" s="56">
        <v>45</v>
      </c>
      <c r="K30" s="56">
        <v>50</v>
      </c>
      <c r="L30" s="56">
        <v>55</v>
      </c>
      <c r="M30" s="56">
        <v>60</v>
      </c>
      <c r="N30" s="56">
        <v>70</v>
      </c>
      <c r="O30" s="56">
        <v>80</v>
      </c>
      <c r="P30" s="56">
        <v>90</v>
      </c>
      <c r="Q30" s="331"/>
    </row>
    <row r="31" spans="2:19" ht="15.6" thickBot="1">
      <c r="B31" s="3" t="s">
        <v>272</v>
      </c>
      <c r="C31" s="55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330"/>
    </row>
    <row r="32" spans="2:19" ht="12.75" customHeight="1">
      <c r="B32" s="38" t="s">
        <v>273</v>
      </c>
      <c r="C32" s="54">
        <v>15</v>
      </c>
      <c r="D32" s="26">
        <v>20</v>
      </c>
      <c r="E32" s="26">
        <v>25</v>
      </c>
      <c r="F32" s="26">
        <v>30</v>
      </c>
      <c r="G32" s="26">
        <v>37</v>
      </c>
      <c r="H32" s="26">
        <v>45</v>
      </c>
      <c r="I32" s="26">
        <v>50</v>
      </c>
      <c r="J32" s="26">
        <v>55</v>
      </c>
      <c r="K32" s="26">
        <v>60</v>
      </c>
      <c r="L32" s="26">
        <v>67</v>
      </c>
      <c r="M32" s="26">
        <v>75</v>
      </c>
      <c r="N32" s="26">
        <v>85</v>
      </c>
      <c r="O32" s="26">
        <v>95</v>
      </c>
      <c r="P32" s="26">
        <v>105</v>
      </c>
      <c r="Q32" s="329"/>
    </row>
    <row r="33" spans="2:17" ht="13.5" customHeight="1" thickBot="1">
      <c r="B33" s="39" t="s">
        <v>272</v>
      </c>
      <c r="C33" s="55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330"/>
    </row>
    <row r="34" spans="2:17" ht="15.6">
      <c r="B34" s="2" t="s">
        <v>274</v>
      </c>
      <c r="C34" s="54">
        <v>20</v>
      </c>
      <c r="D34" s="26">
        <v>24</v>
      </c>
      <c r="E34" s="26">
        <v>28</v>
      </c>
      <c r="F34" s="26">
        <v>33</v>
      </c>
      <c r="G34" s="26">
        <v>38</v>
      </c>
      <c r="H34" s="26">
        <v>43</v>
      </c>
      <c r="I34" s="26">
        <v>48</v>
      </c>
      <c r="J34" s="26">
        <v>53</v>
      </c>
      <c r="K34" s="26">
        <v>58</v>
      </c>
      <c r="L34" s="26">
        <v>63</v>
      </c>
      <c r="M34" s="26">
        <v>68</v>
      </c>
      <c r="N34" s="26">
        <v>78</v>
      </c>
      <c r="O34" s="26">
        <v>88</v>
      </c>
      <c r="P34" s="26">
        <v>98</v>
      </c>
      <c r="Q34" s="40"/>
    </row>
    <row r="35" spans="2:17" ht="15.6" thickBot="1">
      <c r="B35" s="3" t="s">
        <v>272</v>
      </c>
      <c r="C35" s="55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17" t="s">
        <v>275</v>
      </c>
    </row>
    <row r="36" spans="2:17" ht="15.6">
      <c r="B36" s="2" t="s">
        <v>276</v>
      </c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9" t="s">
        <v>277</v>
      </c>
    </row>
    <row r="37" spans="2:17" ht="15">
      <c r="B37" s="7" t="s">
        <v>272</v>
      </c>
      <c r="C37" s="106">
        <f>0.3*C30^(2/3)</f>
        <v>1.5724448365253381</v>
      </c>
      <c r="D37" s="106">
        <f>0.3*D30^(2/3)</f>
        <v>1.9048812623618392</v>
      </c>
      <c r="E37" s="106">
        <f t="shared" ref="E37:K37" si="3">0.3*E30^(2/3)</f>
        <v>2.2104188991842313</v>
      </c>
      <c r="F37" s="106">
        <f t="shared" si="3"/>
        <v>2.5649639200150443</v>
      </c>
      <c r="G37" s="106">
        <f t="shared" si="3"/>
        <v>2.896468153816889</v>
      </c>
      <c r="H37" s="106">
        <f t="shared" si="3"/>
        <v>3.2099624416952368</v>
      </c>
      <c r="I37" s="106">
        <f t="shared" si="3"/>
        <v>3.5088212858554391</v>
      </c>
      <c r="J37" s="106">
        <f t="shared" si="3"/>
        <v>3.7954469938578708</v>
      </c>
      <c r="K37" s="106">
        <f t="shared" si="3"/>
        <v>4.0716264248923588</v>
      </c>
      <c r="L37" s="106">
        <f>2.12*LN(1+(L34/10))</f>
        <v>4.214293618087213</v>
      </c>
      <c r="M37" s="106">
        <f t="shared" ref="M37:P37" si="4">2.12*LN(1+(M34/10))</f>
        <v>4.3547423154345584</v>
      </c>
      <c r="N37" s="106">
        <f t="shared" si="4"/>
        <v>4.6104736495464218</v>
      </c>
      <c r="O37" s="106">
        <f t="shared" si="4"/>
        <v>4.8386506576342363</v>
      </c>
      <c r="P37" s="106">
        <f t="shared" si="4"/>
        <v>5.0446378043559692</v>
      </c>
      <c r="Q37" s="8" t="s">
        <v>278</v>
      </c>
    </row>
    <row r="38" spans="2:17" ht="12.75" customHeight="1">
      <c r="B38" s="42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9" t="s">
        <v>279</v>
      </c>
    </row>
    <row r="39" spans="2:17" ht="13.5" customHeight="1" thickBot="1">
      <c r="B39" s="32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0" t="s">
        <v>280</v>
      </c>
    </row>
    <row r="40" spans="2:17" ht="18" customHeight="1">
      <c r="B40" s="2" t="s">
        <v>281</v>
      </c>
      <c r="C40" s="108">
        <f>0.7*C37</f>
        <v>1.1007113855677366</v>
      </c>
      <c r="D40" s="109">
        <f>0.7*D37</f>
        <v>1.3334168836532874</v>
      </c>
      <c r="E40" s="109">
        <f t="shared" ref="E40:P40" si="5">0.7*E37</f>
        <v>1.5472932294289619</v>
      </c>
      <c r="F40" s="109">
        <f t="shared" si="5"/>
        <v>1.7954747440105308</v>
      </c>
      <c r="G40" s="109">
        <f t="shared" si="5"/>
        <v>2.0275277076718221</v>
      </c>
      <c r="H40" s="109">
        <f t="shared" si="5"/>
        <v>2.2469737091866655</v>
      </c>
      <c r="I40" s="109">
        <f t="shared" si="5"/>
        <v>2.4561749000988073</v>
      </c>
      <c r="J40" s="109">
        <f t="shared" si="5"/>
        <v>2.6568128957005093</v>
      </c>
      <c r="K40" s="109">
        <f t="shared" si="5"/>
        <v>2.8501384974246511</v>
      </c>
      <c r="L40" s="109">
        <f t="shared" si="5"/>
        <v>2.950005532661049</v>
      </c>
      <c r="M40" s="109">
        <f t="shared" si="5"/>
        <v>3.0483196208041905</v>
      </c>
      <c r="N40" s="109">
        <f t="shared" si="5"/>
        <v>3.227331554682495</v>
      </c>
      <c r="O40" s="109">
        <f t="shared" si="5"/>
        <v>3.3870554603439653</v>
      </c>
      <c r="P40" s="109">
        <f t="shared" si="5"/>
        <v>3.531246463049178</v>
      </c>
      <c r="Q40" s="327" t="s">
        <v>282</v>
      </c>
    </row>
    <row r="41" spans="2:17" ht="15.6" thickBot="1">
      <c r="B41" s="3" t="s">
        <v>272</v>
      </c>
      <c r="C41" s="55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328"/>
    </row>
    <row r="42" spans="2:17" ht="31.9" thickBot="1">
      <c r="B42" s="28" t="s">
        <v>283</v>
      </c>
      <c r="C42" s="107">
        <f>1.3*C37</f>
        <v>2.0441782874829397</v>
      </c>
      <c r="D42" s="107">
        <f>1.3*D37</f>
        <v>2.4763456410703912</v>
      </c>
      <c r="E42" s="107">
        <f t="shared" ref="E42:P42" si="6">1.3*E37</f>
        <v>2.8735445689395007</v>
      </c>
      <c r="F42" s="107">
        <f t="shared" si="6"/>
        <v>3.3344530960195575</v>
      </c>
      <c r="G42" s="107">
        <f t="shared" si="6"/>
        <v>3.765408599961956</v>
      </c>
      <c r="H42" s="107">
        <f t="shared" si="6"/>
        <v>4.1729511742038081</v>
      </c>
      <c r="I42" s="107">
        <f t="shared" si="6"/>
        <v>4.5614676716120712</v>
      </c>
      <c r="J42" s="107">
        <f t="shared" si="6"/>
        <v>4.9340810920152318</v>
      </c>
      <c r="K42" s="107">
        <f t="shared" si="6"/>
        <v>5.2931143523600666</v>
      </c>
      <c r="L42" s="107">
        <f t="shared" si="6"/>
        <v>5.4785817035133775</v>
      </c>
      <c r="M42" s="107">
        <f t="shared" si="6"/>
        <v>5.6611650100649262</v>
      </c>
      <c r="N42" s="107">
        <f t="shared" si="6"/>
        <v>5.9936157444103486</v>
      </c>
      <c r="O42" s="107">
        <f t="shared" si="6"/>
        <v>6.2902458549245077</v>
      </c>
      <c r="P42" s="107">
        <f t="shared" si="6"/>
        <v>6.5580291456627604</v>
      </c>
      <c r="Q42" s="17" t="s">
        <v>284</v>
      </c>
    </row>
    <row r="43" spans="2:17" ht="29.25" customHeight="1">
      <c r="B43" s="2" t="s">
        <v>285</v>
      </c>
      <c r="C43" s="110">
        <f>22*(C34/10)^(0.3)</f>
        <v>27.085177093588158</v>
      </c>
      <c r="D43" s="111">
        <f>22*(D34/10)^(0.3)</f>
        <v>28.607904894961401</v>
      </c>
      <c r="E43" s="111">
        <f t="shared" ref="E43:P43" si="7">22*(E34/10)^(0.3)</f>
        <v>29.961951054640309</v>
      </c>
      <c r="F43" s="111">
        <f t="shared" si="7"/>
        <v>31.475806210019346</v>
      </c>
      <c r="G43" s="111">
        <f t="shared" si="7"/>
        <v>32.836568031330792</v>
      </c>
      <c r="H43" s="111">
        <f t="shared" si="7"/>
        <v>34.077146199189329</v>
      </c>
      <c r="I43" s="111">
        <f t="shared" si="7"/>
        <v>35.220462288934414</v>
      </c>
      <c r="J43" s="111">
        <f t="shared" si="7"/>
        <v>36.283188218914134</v>
      </c>
      <c r="K43" s="111">
        <f t="shared" si="7"/>
        <v>37.277869091614654</v>
      </c>
      <c r="L43" s="111">
        <f t="shared" si="7"/>
        <v>38.214206461639002</v>
      </c>
      <c r="M43" s="111">
        <f t="shared" si="7"/>
        <v>39.099873708049074</v>
      </c>
      <c r="N43" s="111">
        <f t="shared" si="7"/>
        <v>40.742817784548983</v>
      </c>
      <c r="O43" s="111">
        <f t="shared" si="7"/>
        <v>42.244238168935823</v>
      </c>
      <c r="P43" s="111">
        <f t="shared" si="7"/>
        <v>43.630531500658059</v>
      </c>
      <c r="Q43" s="327" t="s">
        <v>286</v>
      </c>
    </row>
    <row r="44" spans="2:17" ht="15.6" thickBot="1">
      <c r="B44" s="3" t="s">
        <v>287</v>
      </c>
      <c r="C44" s="55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328"/>
    </row>
    <row r="45" spans="2:17" ht="12.75" customHeight="1">
      <c r="B45" s="323" t="s">
        <v>288</v>
      </c>
      <c r="C45" s="108">
        <f>MIN(0.7*C34^0.31,2.8)</f>
        <v>1.7718107758850909</v>
      </c>
      <c r="D45" s="109">
        <f>MIN(0.7*D34^0.31,2.8)</f>
        <v>1.8748370396696974</v>
      </c>
      <c r="E45" s="109">
        <f t="shared" ref="E45:P45" si="8">MIN(0.7*E34^0.31,2.8)</f>
        <v>1.9666045051940388</v>
      </c>
      <c r="F45" s="109">
        <f t="shared" si="8"/>
        <v>2.0693662482105193</v>
      </c>
      <c r="G45" s="109">
        <f t="shared" si="8"/>
        <v>2.1618768697354804</v>
      </c>
      <c r="H45" s="109">
        <f t="shared" si="8"/>
        <v>2.2463284691964671</v>
      </c>
      <c r="I45" s="109">
        <f t="shared" si="8"/>
        <v>2.3242499142093389</v>
      </c>
      <c r="J45" s="109">
        <f t="shared" si="8"/>
        <v>2.3967545449312704</v>
      </c>
      <c r="K45" s="109">
        <f t="shared" si="8"/>
        <v>2.4646810048680772</v>
      </c>
      <c r="L45" s="109">
        <f t="shared" si="8"/>
        <v>2.5286784670814431</v>
      </c>
      <c r="M45" s="109">
        <f t="shared" si="8"/>
        <v>2.5892608390866876</v>
      </c>
      <c r="N45" s="109">
        <f t="shared" si="8"/>
        <v>2.7017637279883995</v>
      </c>
      <c r="O45" s="109">
        <f t="shared" si="8"/>
        <v>2.8</v>
      </c>
      <c r="P45" s="109">
        <f t="shared" si="8"/>
        <v>2.8</v>
      </c>
      <c r="Q45" s="18" t="s">
        <v>289</v>
      </c>
    </row>
    <row r="46" spans="2:17" ht="13.5" customHeight="1" thickBot="1">
      <c r="B46" s="324"/>
      <c r="C46" s="55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19" t="s">
        <v>290</v>
      </c>
    </row>
    <row r="47" spans="2:17" ht="22.9">
      <c r="B47" s="15" t="s">
        <v>291</v>
      </c>
      <c r="C47" s="29"/>
      <c r="D47" s="30"/>
      <c r="E47" s="30"/>
      <c r="F47" s="30"/>
      <c r="G47" s="30"/>
      <c r="H47" s="30"/>
      <c r="I47" s="30"/>
      <c r="J47" s="30"/>
      <c r="K47" s="31"/>
      <c r="L47" s="44"/>
      <c r="M47" s="44"/>
      <c r="N47" s="44"/>
      <c r="O47" s="44"/>
      <c r="P47" s="44"/>
      <c r="Q47" s="18" t="s">
        <v>292</v>
      </c>
    </row>
    <row r="48" spans="2:17" ht="25.9">
      <c r="B48" s="7" t="s">
        <v>293</v>
      </c>
      <c r="C48" s="51">
        <v>3.5</v>
      </c>
      <c r="D48" s="5"/>
      <c r="E48" s="5"/>
      <c r="F48" s="5"/>
      <c r="G48" s="5"/>
      <c r="H48" s="5"/>
      <c r="I48" s="5"/>
      <c r="J48" s="5"/>
      <c r="K48" s="6"/>
      <c r="L48" s="4">
        <v>3.2</v>
      </c>
      <c r="M48" s="4">
        <v>3</v>
      </c>
      <c r="N48" s="4">
        <v>2.8</v>
      </c>
      <c r="O48" s="4">
        <v>2.8</v>
      </c>
      <c r="P48" s="4">
        <v>2.8</v>
      </c>
      <c r="Q48" s="16" t="s">
        <v>294</v>
      </c>
    </row>
    <row r="49" spans="2:17" ht="13.5" customHeight="1" thickBot="1">
      <c r="B49" s="32"/>
      <c r="C49" s="52"/>
      <c r="D49" s="53"/>
      <c r="E49" s="53"/>
      <c r="F49" s="53"/>
      <c r="G49" s="53"/>
      <c r="H49" s="53"/>
      <c r="I49" s="53"/>
      <c r="J49" s="53"/>
      <c r="K49" s="13"/>
      <c r="L49" s="11"/>
      <c r="M49" s="11"/>
      <c r="N49" s="11"/>
      <c r="O49" s="11"/>
      <c r="P49" s="11"/>
      <c r="Q49" s="17" t="s">
        <v>295</v>
      </c>
    </row>
    <row r="50" spans="2:17" ht="22.9">
      <c r="B50" s="323" t="s">
        <v>296</v>
      </c>
      <c r="C50" s="29"/>
      <c r="D50" s="30"/>
      <c r="E50" s="30"/>
      <c r="F50" s="30"/>
      <c r="G50" s="30"/>
      <c r="H50" s="30"/>
      <c r="I50" s="30"/>
      <c r="J50" s="30"/>
      <c r="K50" s="31"/>
      <c r="L50" s="44"/>
      <c r="M50" s="44"/>
      <c r="N50" s="44"/>
      <c r="O50" s="44"/>
      <c r="P50" s="44"/>
      <c r="Q50" s="18" t="s">
        <v>297</v>
      </c>
    </row>
    <row r="51" spans="2:17" ht="15.6" thickBot="1">
      <c r="B51" s="324"/>
      <c r="C51" s="46">
        <v>2</v>
      </c>
      <c r="D51" s="47"/>
      <c r="E51" s="47"/>
      <c r="F51" s="47"/>
      <c r="G51" s="47"/>
      <c r="H51" s="47"/>
      <c r="I51" s="47"/>
      <c r="J51" s="47"/>
      <c r="K51" s="14"/>
      <c r="L51" s="12">
        <v>2.2000000000000002</v>
      </c>
      <c r="M51" s="12">
        <v>2.2999999999999998</v>
      </c>
      <c r="N51" s="12">
        <v>2.4</v>
      </c>
      <c r="O51" s="12" t="s">
        <v>298</v>
      </c>
      <c r="P51" s="12">
        <v>2.6</v>
      </c>
      <c r="Q51" s="19" t="s">
        <v>299</v>
      </c>
    </row>
    <row r="52" spans="2:17" ht="22.9">
      <c r="B52" s="323" t="s">
        <v>300</v>
      </c>
      <c r="C52" s="20"/>
      <c r="D52" s="21"/>
      <c r="E52" s="21"/>
      <c r="F52" s="21"/>
      <c r="G52" s="21"/>
      <c r="H52" s="21"/>
      <c r="I52" s="21"/>
      <c r="J52" s="21"/>
      <c r="K52" s="22"/>
      <c r="L52" s="45"/>
      <c r="M52" s="45"/>
      <c r="N52" s="45"/>
      <c r="O52" s="45"/>
      <c r="P52" s="45"/>
      <c r="Q52" s="18" t="s">
        <v>297</v>
      </c>
    </row>
    <row r="53" spans="2:17" ht="27" thickBot="1">
      <c r="B53" s="324"/>
      <c r="C53" s="46">
        <v>3.5</v>
      </c>
      <c r="D53" s="47"/>
      <c r="E53" s="47"/>
      <c r="F53" s="47"/>
      <c r="G53" s="47"/>
      <c r="H53" s="47"/>
      <c r="I53" s="47"/>
      <c r="J53" s="47"/>
      <c r="K53" s="14"/>
      <c r="L53" s="12">
        <v>3.1</v>
      </c>
      <c r="M53" s="12">
        <v>2.9</v>
      </c>
      <c r="N53" s="12">
        <v>2.7</v>
      </c>
      <c r="O53" s="12">
        <v>2.6</v>
      </c>
      <c r="P53" s="12">
        <v>2.6</v>
      </c>
      <c r="Q53" s="19" t="s">
        <v>301</v>
      </c>
    </row>
    <row r="54" spans="2:17" ht="12.75" customHeight="1">
      <c r="B54" s="325" t="s">
        <v>302</v>
      </c>
      <c r="C54" s="48">
        <v>2</v>
      </c>
      <c r="D54" s="49"/>
      <c r="E54" s="49"/>
      <c r="F54" s="49"/>
      <c r="G54" s="49"/>
      <c r="H54" s="49"/>
      <c r="I54" s="49"/>
      <c r="J54" s="49"/>
      <c r="K54" s="50"/>
      <c r="L54" s="26">
        <v>1.75</v>
      </c>
      <c r="M54" s="26">
        <v>1.6</v>
      </c>
      <c r="N54" s="26">
        <v>1.45</v>
      </c>
      <c r="O54" s="26">
        <v>1.4</v>
      </c>
      <c r="P54" s="26">
        <v>1.4</v>
      </c>
      <c r="Q54" s="18" t="s">
        <v>303</v>
      </c>
    </row>
    <row r="55" spans="2:17" ht="13.5" customHeight="1" thickBot="1">
      <c r="B55" s="326"/>
      <c r="C55" s="46"/>
      <c r="D55" s="47"/>
      <c r="E55" s="47"/>
      <c r="F55" s="47"/>
      <c r="G55" s="47"/>
      <c r="H55" s="47"/>
      <c r="I55" s="47"/>
      <c r="J55" s="47"/>
      <c r="K55" s="14"/>
      <c r="L55" s="27"/>
      <c r="M55" s="27"/>
      <c r="N55" s="27"/>
      <c r="O55" s="27"/>
      <c r="P55" s="27"/>
      <c r="Q55" s="17" t="s">
        <v>304</v>
      </c>
    </row>
    <row r="56" spans="2:17" ht="22.9">
      <c r="B56" s="323" t="s">
        <v>305</v>
      </c>
      <c r="C56" s="23"/>
      <c r="D56" s="24"/>
      <c r="E56" s="24"/>
      <c r="F56" s="24"/>
      <c r="G56" s="24"/>
      <c r="H56" s="24"/>
      <c r="I56" s="24"/>
      <c r="J56" s="24"/>
      <c r="K56" s="25"/>
      <c r="L56" s="41"/>
      <c r="M56" s="41"/>
      <c r="N56" s="41"/>
      <c r="O56" s="41"/>
      <c r="P56" s="41"/>
      <c r="Q56" s="18" t="s">
        <v>306</v>
      </c>
    </row>
    <row r="57" spans="2:17" ht="24.6" thickBot="1">
      <c r="B57" s="324"/>
      <c r="C57" s="46">
        <v>1.75</v>
      </c>
      <c r="D57" s="47"/>
      <c r="E57" s="47"/>
      <c r="F57" s="47"/>
      <c r="G57" s="47"/>
      <c r="H57" s="47"/>
      <c r="I57" s="47"/>
      <c r="J57" s="47"/>
      <c r="K57" s="14"/>
      <c r="L57" s="12">
        <v>1.8</v>
      </c>
      <c r="M57" s="12">
        <v>1.9</v>
      </c>
      <c r="N57" s="12">
        <v>2</v>
      </c>
      <c r="O57" s="12">
        <v>2.2000000000000002</v>
      </c>
      <c r="P57" s="12">
        <v>2.2999999999999998</v>
      </c>
      <c r="Q57" s="19" t="s">
        <v>307</v>
      </c>
    </row>
    <row r="58" spans="2:17" ht="22.9">
      <c r="B58" s="15" t="s">
        <v>308</v>
      </c>
      <c r="C58" s="20"/>
      <c r="D58" s="21"/>
      <c r="E58" s="21"/>
      <c r="F58" s="21"/>
      <c r="G58" s="21"/>
      <c r="H58" s="21"/>
      <c r="I58" s="21"/>
      <c r="J58" s="21"/>
      <c r="K58" s="22"/>
      <c r="L58" s="45"/>
      <c r="M58" s="45"/>
      <c r="N58" s="45"/>
      <c r="O58" s="45"/>
      <c r="P58" s="45"/>
      <c r="Q58" s="18" t="s">
        <v>306</v>
      </c>
    </row>
    <row r="59" spans="2:17" ht="15.6" thickBot="1">
      <c r="B59" s="3" t="s">
        <v>293</v>
      </c>
      <c r="C59" s="46">
        <v>3.5</v>
      </c>
      <c r="D59" s="47">
        <v>3.5</v>
      </c>
      <c r="E59" s="47">
        <v>3.5</v>
      </c>
      <c r="F59" s="47">
        <v>3.5</v>
      </c>
      <c r="G59" s="47">
        <v>3.5</v>
      </c>
      <c r="H59" s="47">
        <v>3.5</v>
      </c>
      <c r="I59" s="47">
        <v>3.5</v>
      </c>
      <c r="J59" s="47">
        <v>3.5</v>
      </c>
      <c r="K59" s="14">
        <v>3.5</v>
      </c>
      <c r="L59" s="107">
        <f>2.6+35*((90-L30)/100)^4</f>
        <v>3.1252187500000002</v>
      </c>
      <c r="M59" s="107">
        <f t="shared" ref="M59:P59" si="9">2.6+35*((90-M30)/100)^4</f>
        <v>2.8835000000000002</v>
      </c>
      <c r="N59" s="107">
        <f t="shared" si="9"/>
        <v>2.6560000000000001</v>
      </c>
      <c r="O59" s="107">
        <f t="shared" si="9"/>
        <v>2.6034999999999999</v>
      </c>
      <c r="P59" s="107">
        <f t="shared" si="9"/>
        <v>2.6</v>
      </c>
      <c r="Q59" s="19" t="s">
        <v>309</v>
      </c>
    </row>
  </sheetData>
  <mergeCells count="12">
    <mergeCell ref="T1:V1"/>
    <mergeCell ref="B56:B57"/>
    <mergeCell ref="B52:B53"/>
    <mergeCell ref="B54:B55"/>
    <mergeCell ref="B50:B51"/>
    <mergeCell ref="Q43:Q44"/>
    <mergeCell ref="B45:B46"/>
    <mergeCell ref="Q40:Q41"/>
    <mergeCell ref="Q32:Q33"/>
    <mergeCell ref="Q30:Q31"/>
    <mergeCell ref="B28:P28"/>
    <mergeCell ref="B29:P2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EZBX6OC646JHEML4MVBYWY4UJ5MJVQWK:ms-officescript%3A%2F%2Fonedrive_business_sharinglink%2Fu!aHR0cHM6Ly9hcnRlbGlhZGlnaXRhbHNvbHV0aW9ucy1teS5zaGFyZXBvaW50LmNvbS86dTovZy9wZXJzb25hbC9hcnRodXJfbG95c2VsX2FydGVsaWFncm91cF9jb20vRVY3bmtuSXhmR1ZEaTJPVVQxaWF3c29CV1pXcnNreGJWYUw3UDR2X3RWRXRTUQ"/>
</scriptIds>
</file>

<file path=customXml/itemProps1.xml><?xml version="1.0" encoding="utf-8"?>
<ds:datastoreItem xmlns:ds="http://schemas.openxmlformats.org/officeDocument/2006/customXml" ds:itemID="{4BCA8165-AB18-43B7-BCF0-9890333B562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Pellier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Pellier</dc:creator>
  <cp:keywords/>
  <dc:description/>
  <cp:lastModifiedBy>LOYSEL Arthur</cp:lastModifiedBy>
  <cp:revision/>
  <dcterms:created xsi:type="dcterms:W3CDTF">2003-01-20T21:05:02Z</dcterms:created>
  <dcterms:modified xsi:type="dcterms:W3CDTF">2024-10-25T04:05:00Z</dcterms:modified>
  <cp:category/>
  <cp:contentStatus/>
</cp:coreProperties>
</file>